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endance Data" sheetId="1" state="visible" r:id="rId3"/>
    <sheet name="COUNTIF Analysis" sheetId="2" state="visible" r:id="rId4"/>
    <sheet name="Payroll - SUMIF" sheetId="3" state="visible" r:id="rId5"/>
    <sheet name="Monthly MIS Report" sheetId="4" state="visible" r:id="rId6"/>
    <sheet name="MIS 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<sst xmlns="http://schemas.openxmlformats.org/spreadsheetml/2006/main" count="1368" uniqueCount="95">
  <si>
    <t xml:space="preserve">📋  STAFF ATTENDANCE MASTER – FY 2024-25</t>
  </si>
  <si>
    <t xml:space="preserve">Emp ID</t>
  </si>
  <si>
    <t xml:space="preserve">Employee Name</t>
  </si>
  <si>
    <t xml:space="preserve">Designation</t>
  </si>
  <si>
    <t xml:space="preserve">Zone</t>
  </si>
  <si>
    <t xml:space="preserve">Month</t>
  </si>
  <si>
    <t xml:space="preserve">Days Present</t>
  </si>
  <si>
    <t xml:space="preserve">Status</t>
  </si>
  <si>
    <t xml:space="preserve">E001</t>
  </si>
  <si>
    <t xml:space="preserve">Amit Kumar</t>
  </si>
  <si>
    <t xml:space="preserve">Supervisor</t>
  </si>
  <si>
    <t xml:space="preserve">North</t>
  </si>
  <si>
    <t xml:space="preserve">April</t>
  </si>
  <si>
    <t xml:space="preserve">Good</t>
  </si>
  <si>
    <t xml:space="preserve">May</t>
  </si>
  <si>
    <t xml:space="preserve">June</t>
  </si>
  <si>
    <t xml:space="preserve">Warning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</si>
  <si>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</si>
  <si>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</si>
  <si>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</si>
  <si>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</si>
  <si>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</si>
  <si>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</si>
  <si>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January</t>
  </si>
  <si>
    <t xml:space="preserve">February</t>
  </si>
  <si>
    <t xml:space="preserve">March</t>
  </si>
  <si>
    <t xml:space="preserve">E002</t>
  </si>
  <si>
    <t xml:space="preserve">Priya Singh</t>
  </si>
  <si>
    <t xml:space="preserve">Cashier</t>
  </si>
  <si>
    <t xml:space="preserve">E003</t>
  </si>
  <si>
    <t xml:space="preserve">Ravi Sharma</t>
  </si>
  <si>
    <t xml:space="preserve">Pump Operator</t>
  </si>
  <si>
    <t xml:space="preserve">South</t>
  </si>
  <si>
    <t xml:space="preserve">E004</t>
  </si>
  <si>
    <t xml:space="preserve">Sneha Patel</t>
  </si>
  <si>
    <t xml:space="preserve">E005</t>
  </si>
  <si>
    <t xml:space="preserve">Mohit Gupta</t>
  </si>
  <si>
    <t xml:space="preserve">Security</t>
  </si>
  <si>
    <t xml:space="preserve">East</t>
  </si>
  <si>
    <t xml:space="preserve">E006</t>
  </si>
  <si>
    <t xml:space="preserve">Anjali Verma</t>
  </si>
  <si>
    <t xml:space="preserve">Admin</t>
  </si>
  <si>
    <t xml:space="preserve">E007</t>
  </si>
  <si>
    <t xml:space="preserve">Suresh Nair</t>
  </si>
  <si>
    <t xml:space="preserve">West</t>
  </si>
  <si>
    <t xml:space="preserve">E008</t>
  </si>
  <si>
    <t xml:space="preserve">Kavita Joshi</t>
  </si>
  <si>
    <t xml:space="preserve">E009</t>
  </si>
  <si>
    <t xml:space="preserve">Deepak Rao</t>
  </si>
  <si>
    <t xml:space="preserve">Manager</t>
  </si>
  <si>
    <t xml:space="preserve">E010</t>
  </si>
  <si>
    <t xml:space="preserve">Meena Kumari</t>
  </si>
  <si>
    <t xml:space="preserve">Receptionist</t>
  </si>
  <si>
    <t xml:space="preserve">E011</t>
  </si>
  <si>
    <t xml:space="preserve">Harish Tiwari</t>
  </si>
  <si>
    <t xml:space="preserve">E012</t>
  </si>
  <si>
    <t xml:space="preserve">Sunita Devi</t>
  </si>
  <si>
    <t xml:space="preserve">E013</t>
  </si>
  <si>
    <t xml:space="preserve">Vijay Mishra</t>
  </si>
  <si>
    <t xml:space="preserve">E014</t>
  </si>
  <si>
    <t xml:space="preserve">Rekha Sharma</t>
  </si>
  <si>
    <t xml:space="preserve">E015</t>
  </si>
  <si>
    <t xml:space="preserve">Arun Yadav</t>
  </si>
  <si>
    <t xml:space="preserve">E016</t>
  </si>
  <si>
    <t xml:space="preserve">Pooja Gupta</t>
  </si>
  <si>
    <t xml:space="preserve">HR Coord.</t>
  </si>
  <si>
    <t xml:space="preserve">E017</t>
  </si>
  <si>
    <t xml:space="preserve">Sanjay Kumar</t>
  </si>
  <si>
    <t xml:space="preserve">Accountant</t>
  </si>
  <si>
    <t xml:space="preserve">📊  COUNTIF – ATTENDANCE ANALYSIS BY EMPLOYEE</t>
  </si>
  <si>
    <t xml:space="preserve">📊  COUNTIF – STATUS SUMMARY</t>
  </si>
  <si>
    <t xml:space="preserve">Employee</t>
  </si>
  <si>
    <t xml:space="preserve">Total Present Days</t>
  </si>
  <si>
    <t xml:space="preserve">Months &gt;22 Days</t>
  </si>
  <si>
    <t xml:space="preserve">Status = 'Good'</t>
  </si>
  <si>
    <t xml:space="preserve">Count</t>
  </si>
  <si>
    <t xml:space="preserve">% of Total</t>
  </si>
  <si>
    <t xml:space="preserve">Absent Risk</t>
  </si>
  <si>
    <t xml:space="preserve">💰  PAYROLL CALCULATOR – SUMIF &amp; COUNTIF BASED</t>
  </si>
  <si>
    <t xml:space="preserve">Name</t>
  </si>
  <si>
    <t xml:space="preserve">Basic Salary (₹)</t>
  </si>
  <si>
    <t xml:space="preserve">Salary Earned (₹)</t>
  </si>
  <si>
    <t xml:space="preserve">Deduction (₹)</t>
  </si>
  <si>
    <t xml:space="preserve">Net Pay (₹)</t>
  </si>
  <si>
    <t xml:space="preserve">TOTAL</t>
  </si>
  <si>
    <t xml:space="preserve">📈  MONTHLY MIS REPORT – ATTENDANCE SUMMARY</t>
  </si>
  <si>
    <t xml:space="preserve">Employees on Leave</t>
  </si>
  <si>
    <t xml:space="preserve">Avg Attendance %</t>
  </si>
  <si>
    <t xml:space="preserve">Good Status Count</t>
  </si>
  <si>
    <t xml:space="preserve">Warning Count</t>
  </si>
  <si>
    <t xml:space="preserve">🏆  STAFF MIS DASHBOARD – FY 2024-25</t>
  </si>
  <si>
    <t xml:space="preserve">Total Staff</t>
  </si>
  <si>
    <t xml:space="preserve">Good Status %</t>
  </si>
  <si>
    <t xml:space="preserve">Total Payroll (Mar)</t>
  </si>
  <si>
    <t xml:space="preserve">FY 2024-25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</si>
</sst>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General"/>
    <numFmt numFmtId="167" formatCode="\₹#,##0"/>
    <numFmt numFmtId="168" formatCode="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8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6"/>
      <color rgb="FF2E75B6"/>
      <name val="Arial"/>
      <family val="0"/>
      <charset val="1"/>
    </font>
    <font>
      <b val="true"/>
      <sz val="16"/>
      <color rgb="FF375623"/>
      <name val="Arial"/>
      <family val="0"/>
      <charset val="1"/>
    </font>
    <font>
      <b val="true"/>
      <sz val="16"/>
      <color rgb="FFC55A11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A7EBB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375623"/>
        <bgColor rgb="FF595959"/>
      </patternFill>
    </fill>
    <fill>
      <patternFill patternType="solid">
        <fgColor rgb="FFC55A11"/>
        <bgColor rgb="FF99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595959"/>
      <rgbColor rgb="FFAAAAAA"/>
      <rgbColor rgb="FF1F3864"/>
      <rgbColor rgb="FF4A7EBB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Attendance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MIS Report'!B2</c:f>
              <c:strCache>
                <c:ptCount val="1"/>
                <c:pt idx="0">
                  <c:v>Total Present Days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MIS Report'!$A$3:$A$14</c:f>
              <c:strCache>
                <c:ptCount val="12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cat>
          <c:val>
            <c:numRef>
              <c:f>'Monthly MIS Report'!$B$3:$B$14</c:f>
              <c:numCache>
                <c:formatCode>General</c:formatCode>
                <c:ptCount val="12"/>
                <c:pt idx="0">
                  <c:v>370</c:v>
                </c:pt>
                <c:pt idx="1">
                  <c:v>381</c:v>
                </c:pt>
                <c:pt idx="2">
                  <c:v>380</c:v>
                </c:pt>
                <c:pt idx="3">
                  <c:v>392</c:v>
                </c:pt>
                <c:pt idx="4">
                  <c:v>374</c:v>
                </c:pt>
                <c:pt idx="5">
                  <c:v>362</c:v>
                </c:pt>
                <c:pt idx="6">
                  <c:v>382</c:v>
                </c:pt>
                <c:pt idx="7">
                  <c:v>365</c:v>
                </c:pt>
                <c:pt idx="8">
                  <c:v>367</c:v>
                </c:pt>
                <c:pt idx="9">
                  <c:v>382</c:v>
                </c:pt>
                <c:pt idx="10">
                  <c:v>376</c:v>
                </c:pt>
                <c:pt idx="11">
                  <c:v>371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6131586"/>
        <c:axId val="7974725"/>
      </c:lineChart>
      <c:catAx>
        <c:axId val="261315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74725"/>
        <c:crosses val="autoZero"/>
        <c:auto val="1"/>
        <c:lblAlgn val="ctr"/>
        <c:lblOffset val="100"/>
        <c:noMultiLvlLbl val="0"/>
      </c:catAx>
      <c:valAx>
        <c:axId val="79747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Days Present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1315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18</xdr:col>
      <xdr:colOff>472680</xdr:colOff>
      <xdr:row>22</xdr:row>
      <xdr:rowOff>168120</xdr:rowOff>
    </xdr:to>
    <xdr:graphicFrame>
      <xdr:nvGraphicFramePr>
        <xdr:cNvPr id="0" name="Chart 1"/>
        <xdr:cNvGraphicFramePr/>
      </xdr:nvGraphicFramePr>
      <xdr:xfrm>
        <a:off x="7800840" y="352440"/>
        <a:ext cx="7199280" cy="4311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6" min="6" style="1" width="13"/>
    <col collapsed="false" customWidth="true" hidden="false" outlineLevel="0" max="7" min="7" style="1" width="1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26.2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customFormat="false" ht="15" hidden="false" customHeight="true" outlineLevel="0" collapsed="false">
      <c r="A3" s="4" t="s">
        <v>8</v>
      </c>
      <c r="B3" s="5" t="s">
        <v>9</v>
      </c>
      <c r="C3" s="5" t="s">
        <v>10</v>
      </c>
      <c r="D3" s="4" t="s">
        <v>11</v>
      </c>
      <c r="E3" s="6" t="s">
        <v>12</v>
      </c>
      <c r="F3" s="6" t="n">
        <v>24</v>
      </c>
      <c r="G3" s="6" t="s">
        <v>13</v>
      </c>
    </row>
    <row r="4" customFormat="false" ht="15" hidden="false" customHeight="true" outlineLevel="0" collapsed="false">
      <c r="A4" s="7" t="s">
        <v>8</v>
      </c>
      <c r="B4" s="8" t="s">
        <v>9</v>
      </c>
      <c r="C4" s="8" t="s">
        <v>10</v>
      </c>
      <c r="D4" s="7" t="s">
        <v>11</v>
      </c>
      <c r="E4" s="6" t="s">
        <v>14</v>
      </c>
      <c r="F4" s="6" t="n">
        <v>24</v>
      </c>
      <c r="G4" s="6" t="s">
        <v>13</v>
      </c>
    </row>
    <row r="5" customFormat="false" ht="15" hidden="false" customHeight="true" outlineLevel="0" collapsed="false">
      <c r="A5" s="4" t="s">
        <v>8</v>
      </c>
      <c r="B5" s="5" t="s">
        <v>9</v>
      </c>
      <c r="C5" s="5" t="s">
        <v>10</v>
      </c>
      <c r="D5" s="4" t="s">
        <v>11</v>
      </c>
      <c r="E5" s="9" t="s">
        <v>15</v>
      </c>
      <c r="F5" s="9" t="n">
        <v>21</v>
      </c>
      <c r="G5" s="9" t="s">
        <v>16</v>
      </c>
    </row>
    <row r="6" customFormat="false" ht="15" hidden="false" customHeight="true" outlineLevel="0" collapsed="false">
      <c r="A6" s="7" t="s">
        <v>8</v>
      </c>
      <c r="B6" s="8" t="s">
        <v>9</v>
      </c>
      <c r="C6" s="8" t="s">
        <v>10</v>
      </c>
      <c r="D6" s="7" t="s">
        <v>11</v>
      </c>
      <c r="E6" s="9" t="s">
        <v>17</v>
      </c>
      <c r="F6" s="9" t="n">
        <v>20</v>
      </c>
      <c r="G6" s="9" t="s">
        <v>16</v>
      </c>
    </row>
    <row r="7" customFormat="false" ht="15" hidden="false" customHeight="true" outlineLevel="0" collapsed="false">
      <c r="A7" s="4" t="s">
        <v>8</v>
      </c>
      <c r="B7" s="5" t="s">
        <v>9</v>
      </c>
      <c r="C7" s="5" t="s">
        <v>10</v>
      </c>
      <c r="D7" s="4" t="s">
        <v>11</v>
      </c>
      <c r="E7" s="9" t="s">
        <v>18</v>
      </c>
      <c r="F7" s="9" t="n">
        <v>21</v>
      </c>
      <c r="G7" s="9" t="s">
        <v>16</v>
      </c>
    </row>
    <row r="8" customFormat="false" ht="15" hidden="false" customHeight="true" outlineLevel="0" collapsed="false">
      <c r="A8" s="7" t="s">
        <v>8</v>
      </c>
      <c r="B8" s="8" t="s">
        <v>9</v>
      </c>
      <c r="C8" s="8" t="s">
        <v>10</v>
      </c>
      <c r="D8" s="7" t="s">
        <v>11</v>
      </c>
      <c r="E8" s="9" t="s">
        <v>19</v>
      </c>
      <c r="F8" s="9" t="n">
        <v>21</v>
      </c>
      <c r="G8" s="9" t="s">
        <v>16</v>
      </c>
    </row>
    <row r="9" customFormat="false" ht="15" hidden="false" customHeight="true" outlineLevel="0" collapsed="false">
      <c r="A9" s="4" t="s">
        <v>8</v>
      </c>
      <c r="B9" s="5" t="s">
        <v>9</v>
      </c>
      <c r="C9" s="5" t="s">
        <v>10</v>
      </c>
      <c r="D9" s="4" t="s">
        <v>11</v>
      </c>
      <c r="E9" s="9" t="s">
        <v>20</v>
      </c>
      <c r="F9" s="9" t="n">
        <v>20</v>
      </c>
      <c r="G9" s="9" t="s">
        <v>16</v>
      </c>
    </row>
    <row r="10" customFormat="false" ht="15" hidden="false" customHeight="true" outlineLevel="0" collapsed="false">
      <c r="A10" s="7" t="s">
        <v>8</v>
      </c>
      <c r="B10" s="8" t="s">
        <v>9</v>
      </c>
      <c r="C10" s="8" t="s">
        <v>10</v>
      </c>
      <c r="D10" s="7" t="s">
        <v>11</v>
      </c>
      <c r="E10" s="9" t="s">
        <v>21</v>
      </c>
      <c r="F10" s="9" t="n">
        <v>19</v>
      </c>
      <c r="G10" s="9" t="s">
        <v>16</v>
      </c>
    </row>
    <row r="11" customFormat="false" ht="15" hidden="false" customHeight="true" outlineLevel="0" collapsed="false">
      <c r="A11" s="4" t="s">
        <v>8</v>
      </c>
      <c r="B11" s="5" t="s">
        <v>9</v>
      </c>
      <c r="C11" s="5" t="s">
        <v>10</v>
      </c>
      <c r="D11" s="4" t="s">
        <v>11</v>
      </c>
      <c r="E11" s="6" t="s">
        <v>22</v>
      </c>
      <c r="F11" s="6" t="n">
        <v>22</v>
      </c>
      <c r="G11" s="6" t="s">
        <v>13</v>
      </c>
    </row>
    <row r="12" customFormat="false" ht="15" hidden="false" customHeight="true" outlineLevel="0" collapsed="false">
      <c r="A12" s="7" t="s">
        <v>8</v>
      </c>
      <c r="B12" s="8" t="s">
        <v>9</v>
      </c>
      <c r="C12" s="8" t="s">
        <v>10</v>
      </c>
      <c r="D12" s="7" t="s">
        <v>11</v>
      </c>
      <c r="E12" s="6" t="s">
        <v>23</v>
      </c>
      <c r="F12" s="6" t="n">
        <v>24</v>
      </c>
      <c r="G12" s="6" t="s">
        <v>13</v>
      </c>
    </row>
    <row r="13" customFormat="false" ht="15" hidden="false" customHeight="true" outlineLevel="0" collapsed="false">
      <c r="A13" s="4" t="s">
        <v>8</v>
      </c>
      <c r="B13" s="5" t="s">
        <v>9</v>
      </c>
      <c r="C13" s="5" t="s">
        <v>10</v>
      </c>
      <c r="D13" s="4" t="s">
        <v>11</v>
      </c>
      <c r="E13" s="6" t="s">
        <v>24</v>
      </c>
      <c r="F13" s="6" t="n">
        <v>26</v>
      </c>
      <c r="G13" s="6" t="s">
        <v>13</v>
      </c>
    </row>
    <row r="14" customFormat="false" ht="15" hidden="false" customHeight="true" outlineLevel="0" collapsed="false">
      <c r="A14" s="7" t="s">
        <v>8</v>
      </c>
      <c r="B14" s="8" t="s">
        <v>9</v>
      </c>
      <c r="C14" s="8" t="s">
        <v>10</v>
      </c>
      <c r="D14" s="7" t="s">
        <v>11</v>
      </c>
      <c r="E14" s="6" t="s">
        <v>25</v>
      </c>
      <c r="F14" s="6" t="n">
        <v>26</v>
      </c>
      <c r="G14" s="6" t="s">
        <v>13</v>
      </c>
    </row>
    <row r="15" customFormat="false" ht="15" hidden="false" customHeight="true" outlineLevel="0" collapsed="false">
      <c r="A15" s="4" t="s">
        <v>26</v>
      </c>
      <c r="B15" s="5" t="s">
        <v>27</v>
      </c>
      <c r="C15" s="5" t="s">
        <v>28</v>
      </c>
      <c r="D15" s="4" t="s">
        <v>11</v>
      </c>
      <c r="E15" s="9" t="s">
        <v>12</v>
      </c>
      <c r="F15" s="9" t="n">
        <v>19</v>
      </c>
      <c r="G15" s="9" t="s">
        <v>16</v>
      </c>
    </row>
    <row r="16" customFormat="false" ht="15" hidden="false" customHeight="true" outlineLevel="0" collapsed="false">
      <c r="A16" s="7" t="s">
        <v>26</v>
      </c>
      <c r="B16" s="8" t="s">
        <v>27</v>
      </c>
      <c r="C16" s="8" t="s">
        <v>28</v>
      </c>
      <c r="D16" s="7" t="s">
        <v>11</v>
      </c>
      <c r="E16" s="6" t="s">
        <v>14</v>
      </c>
      <c r="F16" s="6" t="n">
        <v>25</v>
      </c>
      <c r="G16" s="6" t="s">
        <v>13</v>
      </c>
    </row>
    <row r="17" customFormat="false" ht="15" hidden="false" customHeight="true" outlineLevel="0" collapsed="false">
      <c r="A17" s="4" t="s">
        <v>26</v>
      </c>
      <c r="B17" s="5" t="s">
        <v>27</v>
      </c>
      <c r="C17" s="5" t="s">
        <v>28</v>
      </c>
      <c r="D17" s="4" t="s">
        <v>11</v>
      </c>
      <c r="E17" s="9" t="s">
        <v>15</v>
      </c>
      <c r="F17" s="9" t="n">
        <v>21</v>
      </c>
      <c r="G17" s="9" t="s">
        <v>16</v>
      </c>
    </row>
    <row r="18" customFormat="false" ht="15" hidden="false" customHeight="true" outlineLevel="0" collapsed="false">
      <c r="A18" s="7" t="s">
        <v>26</v>
      </c>
      <c r="B18" s="8" t="s">
        <v>27</v>
      </c>
      <c r="C18" s="8" t="s">
        <v>28</v>
      </c>
      <c r="D18" s="7" t="s">
        <v>11</v>
      </c>
      <c r="E18" s="6" t="s">
        <v>17</v>
      </c>
      <c r="F18" s="6" t="n">
        <v>24</v>
      </c>
      <c r="G18" s="6" t="s">
        <v>13</v>
      </c>
    </row>
    <row r="19" customFormat="false" ht="15" hidden="false" customHeight="true" outlineLevel="0" collapsed="false">
      <c r="A19" s="4" t="s">
        <v>26</v>
      </c>
      <c r="B19" s="5" t="s">
        <v>27</v>
      </c>
      <c r="C19" s="5" t="s">
        <v>28</v>
      </c>
      <c r="D19" s="4" t="s">
        <v>11</v>
      </c>
      <c r="E19" s="9" t="s">
        <v>18</v>
      </c>
      <c r="F19" s="9" t="n">
        <v>21</v>
      </c>
      <c r="G19" s="9" t="s">
        <v>16</v>
      </c>
    </row>
    <row r="20" customFormat="false" ht="15" hidden="false" customHeight="true" outlineLevel="0" collapsed="false">
      <c r="A20" s="7" t="s">
        <v>26</v>
      </c>
      <c r="B20" s="8" t="s">
        <v>27</v>
      </c>
      <c r="C20" s="8" t="s">
        <v>28</v>
      </c>
      <c r="D20" s="7" t="s">
        <v>11</v>
      </c>
      <c r="E20" s="6" t="s">
        <v>19</v>
      </c>
      <c r="F20" s="6" t="n">
        <v>23</v>
      </c>
      <c r="G20" s="6" t="s">
        <v>13</v>
      </c>
    </row>
    <row r="21" customFormat="false" ht="15" hidden="false" customHeight="true" outlineLevel="0" collapsed="false">
      <c r="A21" s="4" t="s">
        <v>26</v>
      </c>
      <c r="B21" s="5" t="s">
        <v>27</v>
      </c>
      <c r="C21" s="5" t="s">
        <v>28</v>
      </c>
      <c r="D21" s="4" t="s">
        <v>11</v>
      </c>
      <c r="E21" s="6" t="s">
        <v>20</v>
      </c>
      <c r="F21" s="6" t="n">
        <v>24</v>
      </c>
      <c r="G21" s="6" t="s">
        <v>13</v>
      </c>
    </row>
    <row r="22" customFormat="false" ht="15" hidden="false" customHeight="true" outlineLevel="0" collapsed="false">
      <c r="A22" s="7" t="s">
        <v>26</v>
      </c>
      <c r="B22" s="8" t="s">
        <v>27</v>
      </c>
      <c r="C22" s="8" t="s">
        <v>28</v>
      </c>
      <c r="D22" s="7" t="s">
        <v>11</v>
      </c>
      <c r="E22" s="9" t="s">
        <v>21</v>
      </c>
      <c r="F22" s="9" t="n">
        <v>21</v>
      </c>
      <c r="G22" s="9" t="s">
        <v>16</v>
      </c>
    </row>
    <row r="23" customFormat="false" ht="15" hidden="false" customHeight="true" outlineLevel="0" collapsed="false">
      <c r="A23" s="4" t="s">
        <v>26</v>
      </c>
      <c r="B23" s="5" t="s">
        <v>27</v>
      </c>
      <c r="C23" s="5" t="s">
        <v>28</v>
      </c>
      <c r="D23" s="4" t="s">
        <v>11</v>
      </c>
      <c r="E23" s="9" t="s">
        <v>22</v>
      </c>
      <c r="F23" s="9" t="n">
        <v>20</v>
      </c>
      <c r="G23" s="9" t="s">
        <v>16</v>
      </c>
    </row>
    <row r="24" customFormat="false" ht="15" hidden="false" customHeight="true" outlineLevel="0" collapsed="false">
      <c r="A24" s="7" t="s">
        <v>26</v>
      </c>
      <c r="B24" s="8" t="s">
        <v>27</v>
      </c>
      <c r="C24" s="8" t="s">
        <v>28</v>
      </c>
      <c r="D24" s="7" t="s">
        <v>11</v>
      </c>
      <c r="E24" s="6" t="s">
        <v>23</v>
      </c>
      <c r="F24" s="6" t="n">
        <v>25</v>
      </c>
      <c r="G24" s="6" t="s">
        <v>13</v>
      </c>
    </row>
    <row r="25" customFormat="false" ht="15" hidden="false" customHeight="true" outlineLevel="0" collapsed="false">
      <c r="A25" s="4" t="s">
        <v>26</v>
      </c>
      <c r="B25" s="5" t="s">
        <v>27</v>
      </c>
      <c r="C25" s="5" t="s">
        <v>28</v>
      </c>
      <c r="D25" s="4" t="s">
        <v>11</v>
      </c>
      <c r="E25" s="9" t="s">
        <v>24</v>
      </c>
      <c r="F25" s="9" t="n">
        <v>20</v>
      </c>
      <c r="G25" s="9" t="s">
        <v>16</v>
      </c>
    </row>
    <row r="26" customFormat="false" ht="15" hidden="false" customHeight="true" outlineLevel="0" collapsed="false">
      <c r="A26" s="7" t="s">
        <v>26</v>
      </c>
      <c r="B26" s="8" t="s">
        <v>27</v>
      </c>
      <c r="C26" s="8" t="s">
        <v>28</v>
      </c>
      <c r="D26" s="7" t="s">
        <v>11</v>
      </c>
      <c r="E26" s="6" t="s">
        <v>25</v>
      </c>
      <c r="F26" s="6" t="n">
        <v>23</v>
      </c>
      <c r="G26" s="6" t="s">
        <v>13</v>
      </c>
    </row>
    <row r="27" customFormat="false" ht="15" hidden="false" customHeight="true" outlineLevel="0" collapsed="false">
      <c r="A27" s="4" t="s">
        <v>29</v>
      </c>
      <c r="B27" s="5" t="s">
        <v>30</v>
      </c>
      <c r="C27" s="5" t="s">
        <v>31</v>
      </c>
      <c r="D27" s="4" t="s">
        <v>32</v>
      </c>
      <c r="E27" s="9" t="s">
        <v>12</v>
      </c>
      <c r="F27" s="9" t="n">
        <v>19</v>
      </c>
      <c r="G27" s="9" t="s">
        <v>16</v>
      </c>
    </row>
    <row r="28" customFormat="false" ht="15" hidden="false" customHeight="true" outlineLevel="0" collapsed="false">
      <c r="A28" s="7" t="s">
        <v>29</v>
      </c>
      <c r="B28" s="8" t="s">
        <v>30</v>
      </c>
      <c r="C28" s="8" t="s">
        <v>31</v>
      </c>
      <c r="D28" s="7" t="s">
        <v>32</v>
      </c>
      <c r="E28" s="6" t="s">
        <v>14</v>
      </c>
      <c r="F28" s="6" t="n">
        <v>26</v>
      </c>
      <c r="G28" s="6" t="s">
        <v>13</v>
      </c>
    </row>
    <row r="29" customFormat="false" ht="15" hidden="false" customHeight="true" outlineLevel="0" collapsed="false">
      <c r="A29" s="4" t="s">
        <v>29</v>
      </c>
      <c r="B29" s="5" t="s">
        <v>30</v>
      </c>
      <c r="C29" s="5" t="s">
        <v>31</v>
      </c>
      <c r="D29" s="4" t="s">
        <v>32</v>
      </c>
      <c r="E29" s="9" t="s">
        <v>15</v>
      </c>
      <c r="F29" s="9" t="n">
        <v>19</v>
      </c>
      <c r="G29" s="9" t="s">
        <v>16</v>
      </c>
    </row>
    <row r="30" customFormat="false" ht="15" hidden="false" customHeight="true" outlineLevel="0" collapsed="false">
      <c r="A30" s="7" t="s">
        <v>29</v>
      </c>
      <c r="B30" s="8" t="s">
        <v>30</v>
      </c>
      <c r="C30" s="8" t="s">
        <v>31</v>
      </c>
      <c r="D30" s="7" t="s">
        <v>32</v>
      </c>
      <c r="E30" s="6" t="s">
        <v>17</v>
      </c>
      <c r="F30" s="6" t="n">
        <v>25</v>
      </c>
      <c r="G30" s="6" t="s">
        <v>13</v>
      </c>
    </row>
    <row r="31" customFormat="false" ht="15" hidden="false" customHeight="true" outlineLevel="0" collapsed="false">
      <c r="A31" s="4" t="s">
        <v>29</v>
      </c>
      <c r="B31" s="5" t="s">
        <v>30</v>
      </c>
      <c r="C31" s="5" t="s">
        <v>31</v>
      </c>
      <c r="D31" s="4" t="s">
        <v>32</v>
      </c>
      <c r="E31" s="6" t="s">
        <v>18</v>
      </c>
      <c r="F31" s="6" t="n">
        <v>23</v>
      </c>
      <c r="G31" s="6" t="s">
        <v>13</v>
      </c>
    </row>
    <row r="32" customFormat="false" ht="15" hidden="false" customHeight="true" outlineLevel="0" collapsed="false">
      <c r="A32" s="7" t="s">
        <v>29</v>
      </c>
      <c r="B32" s="8" t="s">
        <v>30</v>
      </c>
      <c r="C32" s="8" t="s">
        <v>31</v>
      </c>
      <c r="D32" s="7" t="s">
        <v>32</v>
      </c>
      <c r="E32" s="6" t="s">
        <v>19</v>
      </c>
      <c r="F32" s="6" t="n">
        <v>24</v>
      </c>
      <c r="G32" s="6" t="s">
        <v>13</v>
      </c>
    </row>
    <row r="33" customFormat="false" ht="15" hidden="false" customHeight="true" outlineLevel="0" collapsed="false">
      <c r="A33" s="4" t="s">
        <v>29</v>
      </c>
      <c r="B33" s="5" t="s">
        <v>30</v>
      </c>
      <c r="C33" s="5" t="s">
        <v>31</v>
      </c>
      <c r="D33" s="4" t="s">
        <v>32</v>
      </c>
      <c r="E33" s="9" t="s">
        <v>20</v>
      </c>
      <c r="F33" s="9" t="n">
        <v>18</v>
      </c>
      <c r="G33" s="9" t="s">
        <v>16</v>
      </c>
    </row>
    <row r="34" customFormat="false" ht="15" hidden="false" customHeight="true" outlineLevel="0" collapsed="false">
      <c r="A34" s="7" t="s">
        <v>29</v>
      </c>
      <c r="B34" s="8" t="s">
        <v>30</v>
      </c>
      <c r="C34" s="8" t="s">
        <v>31</v>
      </c>
      <c r="D34" s="7" t="s">
        <v>32</v>
      </c>
      <c r="E34" s="6" t="s">
        <v>21</v>
      </c>
      <c r="F34" s="6" t="n">
        <v>22</v>
      </c>
      <c r="G34" s="6" t="s">
        <v>13</v>
      </c>
    </row>
    <row r="35" customFormat="false" ht="15" hidden="false" customHeight="true" outlineLevel="0" collapsed="false">
      <c r="A35" s="4" t="s">
        <v>29</v>
      </c>
      <c r="B35" s="5" t="s">
        <v>30</v>
      </c>
      <c r="C35" s="5" t="s">
        <v>31</v>
      </c>
      <c r="D35" s="4" t="s">
        <v>32</v>
      </c>
      <c r="E35" s="6" t="s">
        <v>22</v>
      </c>
      <c r="F35" s="6" t="n">
        <v>26</v>
      </c>
      <c r="G35" s="6" t="s">
        <v>13</v>
      </c>
    </row>
    <row r="36" customFormat="false" ht="15" hidden="false" customHeight="true" outlineLevel="0" collapsed="false">
      <c r="A36" s="7" t="s">
        <v>29</v>
      </c>
      <c r="B36" s="8" t="s">
        <v>30</v>
      </c>
      <c r="C36" s="8" t="s">
        <v>31</v>
      </c>
      <c r="D36" s="7" t="s">
        <v>32</v>
      </c>
      <c r="E36" s="9" t="s">
        <v>23</v>
      </c>
      <c r="F36" s="9" t="n">
        <v>18</v>
      </c>
      <c r="G36" s="9" t="s">
        <v>16</v>
      </c>
    </row>
    <row r="37" customFormat="false" ht="15" hidden="false" customHeight="true" outlineLevel="0" collapsed="false">
      <c r="A37" s="4" t="s">
        <v>29</v>
      </c>
      <c r="B37" s="5" t="s">
        <v>30</v>
      </c>
      <c r="C37" s="5" t="s">
        <v>31</v>
      </c>
      <c r="D37" s="4" t="s">
        <v>32</v>
      </c>
      <c r="E37" s="6" t="s">
        <v>24</v>
      </c>
      <c r="F37" s="6" t="n">
        <v>24</v>
      </c>
      <c r="G37" s="6" t="s">
        <v>13</v>
      </c>
    </row>
    <row r="38" customFormat="false" ht="15" hidden="false" customHeight="true" outlineLevel="0" collapsed="false">
      <c r="A38" s="7" t="s">
        <v>29</v>
      </c>
      <c r="B38" s="8" t="s">
        <v>30</v>
      </c>
      <c r="C38" s="8" t="s">
        <v>31</v>
      </c>
      <c r="D38" s="7" t="s">
        <v>32</v>
      </c>
      <c r="E38" s="9" t="s">
        <v>25</v>
      </c>
      <c r="F38" s="9" t="n">
        <v>21</v>
      </c>
      <c r="G38" s="9" t="s">
        <v>16</v>
      </c>
    </row>
    <row r="39" customFormat="false" ht="15" hidden="false" customHeight="true" outlineLevel="0" collapsed="false">
      <c r="A39" s="4" t="s">
        <v>33</v>
      </c>
      <c r="B39" s="5" t="s">
        <v>34</v>
      </c>
      <c r="C39" s="5" t="s">
        <v>28</v>
      </c>
      <c r="D39" s="4" t="s">
        <v>32</v>
      </c>
      <c r="E39" s="6" t="s">
        <v>12</v>
      </c>
      <c r="F39" s="6" t="n">
        <v>23</v>
      </c>
      <c r="G39" s="6" t="s">
        <v>13</v>
      </c>
    </row>
    <row r="40" customFormat="false" ht="15" hidden="false" customHeight="true" outlineLevel="0" collapsed="false">
      <c r="A40" s="7" t="s">
        <v>33</v>
      </c>
      <c r="B40" s="8" t="s">
        <v>34</v>
      </c>
      <c r="C40" s="8" t="s">
        <v>28</v>
      </c>
      <c r="D40" s="7" t="s">
        <v>32</v>
      </c>
      <c r="E40" s="6" t="s">
        <v>14</v>
      </c>
      <c r="F40" s="6" t="n">
        <v>26</v>
      </c>
      <c r="G40" s="6" t="s">
        <v>13</v>
      </c>
    </row>
    <row r="41" customFormat="false" ht="15" hidden="false" customHeight="true" outlineLevel="0" collapsed="false">
      <c r="A41" s="4" t="s">
        <v>33</v>
      </c>
      <c r="B41" s="5" t="s">
        <v>34</v>
      </c>
      <c r="C41" s="5" t="s">
        <v>28</v>
      </c>
      <c r="D41" s="4" t="s">
        <v>32</v>
      </c>
      <c r="E41" s="9" t="s">
        <v>15</v>
      </c>
      <c r="F41" s="9" t="n">
        <v>19</v>
      </c>
      <c r="G41" s="9" t="s">
        <v>16</v>
      </c>
    </row>
    <row r="42" customFormat="false" ht="15" hidden="false" customHeight="true" outlineLevel="0" collapsed="false">
      <c r="A42" s="7" t="s">
        <v>33</v>
      </c>
      <c r="B42" s="8" t="s">
        <v>34</v>
      </c>
      <c r="C42" s="8" t="s">
        <v>28</v>
      </c>
      <c r="D42" s="7" t="s">
        <v>32</v>
      </c>
      <c r="E42" s="6" t="s">
        <v>17</v>
      </c>
      <c r="F42" s="6" t="n">
        <v>25</v>
      </c>
      <c r="G42" s="6" t="s">
        <v>13</v>
      </c>
    </row>
    <row r="43" customFormat="false" ht="15" hidden="false" customHeight="true" outlineLevel="0" collapsed="false">
      <c r="A43" s="4" t="s">
        <v>33</v>
      </c>
      <c r="B43" s="5" t="s">
        <v>34</v>
      </c>
      <c r="C43" s="5" t="s">
        <v>28</v>
      </c>
      <c r="D43" s="4" t="s">
        <v>32</v>
      </c>
      <c r="E43" s="6" t="s">
        <v>18</v>
      </c>
      <c r="F43" s="6" t="n">
        <v>26</v>
      </c>
      <c r="G43" s="6" t="s">
        <v>13</v>
      </c>
    </row>
    <row r="44" customFormat="false" ht="15" hidden="false" customHeight="true" outlineLevel="0" collapsed="false">
      <c r="A44" s="7" t="s">
        <v>33</v>
      </c>
      <c r="B44" s="8" t="s">
        <v>34</v>
      </c>
      <c r="C44" s="8" t="s">
        <v>28</v>
      </c>
      <c r="D44" s="7" t="s">
        <v>32</v>
      </c>
      <c r="E44" s="9" t="s">
        <v>19</v>
      </c>
      <c r="F44" s="9" t="n">
        <v>21</v>
      </c>
      <c r="G44" s="9" t="s">
        <v>16</v>
      </c>
    </row>
    <row r="45" customFormat="false" ht="15" hidden="false" customHeight="true" outlineLevel="0" collapsed="false">
      <c r="A45" s="4" t="s">
        <v>33</v>
      </c>
      <c r="B45" s="5" t="s">
        <v>34</v>
      </c>
      <c r="C45" s="5" t="s">
        <v>28</v>
      </c>
      <c r="D45" s="4" t="s">
        <v>32</v>
      </c>
      <c r="E45" s="6" t="s">
        <v>20</v>
      </c>
      <c r="F45" s="6" t="n">
        <v>25</v>
      </c>
      <c r="G45" s="6" t="s">
        <v>13</v>
      </c>
    </row>
    <row r="46" customFormat="false" ht="15" hidden="false" customHeight="true" outlineLevel="0" collapsed="false">
      <c r="A46" s="7" t="s">
        <v>33</v>
      </c>
      <c r="B46" s="8" t="s">
        <v>34</v>
      </c>
      <c r="C46" s="8" t="s">
        <v>28</v>
      </c>
      <c r="D46" s="7" t="s">
        <v>32</v>
      </c>
      <c r="E46" s="9" t="s">
        <v>21</v>
      </c>
      <c r="F46" s="9" t="n">
        <v>18</v>
      </c>
      <c r="G46" s="9" t="s">
        <v>16</v>
      </c>
    </row>
    <row r="47" customFormat="false" ht="15" hidden="false" customHeight="true" outlineLevel="0" collapsed="false">
      <c r="A47" s="4" t="s">
        <v>33</v>
      </c>
      <c r="B47" s="5" t="s">
        <v>34</v>
      </c>
      <c r="C47" s="5" t="s">
        <v>28</v>
      </c>
      <c r="D47" s="4" t="s">
        <v>32</v>
      </c>
      <c r="E47" s="6" t="s">
        <v>22</v>
      </c>
      <c r="F47" s="6" t="n">
        <v>23</v>
      </c>
      <c r="G47" s="6" t="s">
        <v>13</v>
      </c>
    </row>
    <row r="48" customFormat="false" ht="15" hidden="false" customHeight="true" outlineLevel="0" collapsed="false">
      <c r="A48" s="7" t="s">
        <v>33</v>
      </c>
      <c r="B48" s="8" t="s">
        <v>34</v>
      </c>
      <c r="C48" s="8" t="s">
        <v>28</v>
      </c>
      <c r="D48" s="7" t="s">
        <v>32</v>
      </c>
      <c r="E48" s="9" t="s">
        <v>23</v>
      </c>
      <c r="F48" s="9" t="n">
        <v>20</v>
      </c>
      <c r="G48" s="9" t="s">
        <v>16</v>
      </c>
    </row>
    <row r="49" customFormat="false" ht="15" hidden="false" customHeight="true" outlineLevel="0" collapsed="false">
      <c r="A49" s="4" t="s">
        <v>33</v>
      </c>
      <c r="B49" s="5" t="s">
        <v>34</v>
      </c>
      <c r="C49" s="5" t="s">
        <v>28</v>
      </c>
      <c r="D49" s="4" t="s">
        <v>32</v>
      </c>
      <c r="E49" s="9" t="s">
        <v>24</v>
      </c>
      <c r="F49" s="9" t="n">
        <v>21</v>
      </c>
      <c r="G49" s="9" t="s">
        <v>16</v>
      </c>
    </row>
    <row r="50" customFormat="false" ht="15" hidden="false" customHeight="true" outlineLevel="0" collapsed="false">
      <c r="A50" s="7" t="s">
        <v>33</v>
      </c>
      <c r="B50" s="8" t="s">
        <v>34</v>
      </c>
      <c r="C50" s="8" t="s">
        <v>28</v>
      </c>
      <c r="D50" s="7" t="s">
        <v>32</v>
      </c>
      <c r="E50" s="9" t="s">
        <v>25</v>
      </c>
      <c r="F50" s="9" t="n">
        <v>20</v>
      </c>
      <c r="G50" s="9" t="s">
        <v>16</v>
      </c>
    </row>
    <row r="51" customFormat="false" ht="15" hidden="false" customHeight="true" outlineLevel="0" collapsed="false">
      <c r="A51" s="4" t="s">
        <v>35</v>
      </c>
      <c r="B51" s="5" t="s">
        <v>36</v>
      </c>
      <c r="C51" s="5" t="s">
        <v>37</v>
      </c>
      <c r="D51" s="4" t="s">
        <v>38</v>
      </c>
      <c r="E51" s="6" t="s">
        <v>12</v>
      </c>
      <c r="F51" s="6" t="n">
        <v>25</v>
      </c>
      <c r="G51" s="6" t="s">
        <v>13</v>
      </c>
    </row>
    <row r="52" customFormat="false" ht="15" hidden="false" customHeight="true" outlineLevel="0" collapsed="false">
      <c r="A52" s="7" t="s">
        <v>35</v>
      </c>
      <c r="B52" s="8" t="s">
        <v>36</v>
      </c>
      <c r="C52" s="8" t="s">
        <v>37</v>
      </c>
      <c r="D52" s="7" t="s">
        <v>38</v>
      </c>
      <c r="E52" s="9" t="s">
        <v>14</v>
      </c>
      <c r="F52" s="9" t="n">
        <v>20</v>
      </c>
      <c r="G52" s="9" t="s">
        <v>16</v>
      </c>
    </row>
    <row r="53" customFormat="false" ht="15" hidden="false" customHeight="true" outlineLevel="0" collapsed="false">
      <c r="A53" s="4" t="s">
        <v>35</v>
      </c>
      <c r="B53" s="5" t="s">
        <v>36</v>
      </c>
      <c r="C53" s="5" t="s">
        <v>37</v>
      </c>
      <c r="D53" s="4" t="s">
        <v>38</v>
      </c>
      <c r="E53" s="6" t="s">
        <v>15</v>
      </c>
      <c r="F53" s="6" t="n">
        <v>26</v>
      </c>
      <c r="G53" s="6" t="s">
        <v>13</v>
      </c>
    </row>
    <row r="54" customFormat="false" ht="15" hidden="false" customHeight="true" outlineLevel="0" collapsed="false">
      <c r="A54" s="7" t="s">
        <v>35</v>
      </c>
      <c r="B54" s="8" t="s">
        <v>36</v>
      </c>
      <c r="C54" s="8" t="s">
        <v>37</v>
      </c>
      <c r="D54" s="7" t="s">
        <v>38</v>
      </c>
      <c r="E54" s="9" t="s">
        <v>17</v>
      </c>
      <c r="F54" s="9" t="n">
        <v>20</v>
      </c>
      <c r="G54" s="9" t="s">
        <v>16</v>
      </c>
    </row>
    <row r="55" customFormat="false" ht="15" hidden="false" customHeight="true" outlineLevel="0" collapsed="false">
      <c r="A55" s="4" t="s">
        <v>35</v>
      </c>
      <c r="B55" s="5" t="s">
        <v>36</v>
      </c>
      <c r="C55" s="5" t="s">
        <v>37</v>
      </c>
      <c r="D55" s="4" t="s">
        <v>38</v>
      </c>
      <c r="E55" s="9" t="s">
        <v>18</v>
      </c>
      <c r="F55" s="9" t="n">
        <v>18</v>
      </c>
      <c r="G55" s="9" t="s">
        <v>16</v>
      </c>
    </row>
    <row r="56" customFormat="false" ht="15" hidden="false" customHeight="true" outlineLevel="0" collapsed="false">
      <c r="A56" s="7" t="s">
        <v>35</v>
      </c>
      <c r="B56" s="8" t="s">
        <v>36</v>
      </c>
      <c r="C56" s="8" t="s">
        <v>37</v>
      </c>
      <c r="D56" s="7" t="s">
        <v>38</v>
      </c>
      <c r="E56" s="9" t="s">
        <v>19</v>
      </c>
      <c r="F56" s="9" t="n">
        <v>19</v>
      </c>
      <c r="G56" s="9" t="s">
        <v>16</v>
      </c>
    </row>
    <row r="57" customFormat="false" ht="15" hidden="false" customHeight="true" outlineLevel="0" collapsed="false">
      <c r="A57" s="4" t="s">
        <v>35</v>
      </c>
      <c r="B57" s="5" t="s">
        <v>36</v>
      </c>
      <c r="C57" s="5" t="s">
        <v>37</v>
      </c>
      <c r="D57" s="4" t="s">
        <v>38</v>
      </c>
      <c r="E57" s="9" t="s">
        <v>20</v>
      </c>
      <c r="F57" s="9" t="n">
        <v>18</v>
      </c>
      <c r="G57" s="9" t="s">
        <v>16</v>
      </c>
    </row>
    <row r="58" customFormat="false" ht="15" hidden="false" customHeight="true" outlineLevel="0" collapsed="false">
      <c r="A58" s="7" t="s">
        <v>35</v>
      </c>
      <c r="B58" s="8" t="s">
        <v>36</v>
      </c>
      <c r="C58" s="8" t="s">
        <v>37</v>
      </c>
      <c r="D58" s="7" t="s">
        <v>38</v>
      </c>
      <c r="E58" s="9" t="s">
        <v>21</v>
      </c>
      <c r="F58" s="9" t="n">
        <v>20</v>
      </c>
      <c r="G58" s="9" t="s">
        <v>16</v>
      </c>
    </row>
    <row r="59" customFormat="false" ht="15" hidden="false" customHeight="true" outlineLevel="0" collapsed="false">
      <c r="A59" s="4" t="s">
        <v>35</v>
      </c>
      <c r="B59" s="5" t="s">
        <v>36</v>
      </c>
      <c r="C59" s="5" t="s">
        <v>37</v>
      </c>
      <c r="D59" s="4" t="s">
        <v>38</v>
      </c>
      <c r="E59" s="6" t="s">
        <v>22</v>
      </c>
      <c r="F59" s="6" t="n">
        <v>25</v>
      </c>
      <c r="G59" s="6" t="s">
        <v>13</v>
      </c>
    </row>
    <row r="60" customFormat="false" ht="15" hidden="false" customHeight="true" outlineLevel="0" collapsed="false">
      <c r="A60" s="7" t="s">
        <v>35</v>
      </c>
      <c r="B60" s="8" t="s">
        <v>36</v>
      </c>
      <c r="C60" s="8" t="s">
        <v>37</v>
      </c>
      <c r="D60" s="7" t="s">
        <v>38</v>
      </c>
      <c r="E60" s="6" t="s">
        <v>23</v>
      </c>
      <c r="F60" s="6" t="n">
        <v>24</v>
      </c>
      <c r="G60" s="6" t="s">
        <v>13</v>
      </c>
    </row>
    <row r="61" customFormat="false" ht="15" hidden="false" customHeight="true" outlineLevel="0" collapsed="false">
      <c r="A61" s="4" t="s">
        <v>35</v>
      </c>
      <c r="B61" s="5" t="s">
        <v>36</v>
      </c>
      <c r="C61" s="5" t="s">
        <v>37</v>
      </c>
      <c r="D61" s="4" t="s">
        <v>38</v>
      </c>
      <c r="E61" s="9" t="s">
        <v>24</v>
      </c>
      <c r="F61" s="9" t="n">
        <v>19</v>
      </c>
      <c r="G61" s="9" t="s">
        <v>16</v>
      </c>
    </row>
    <row r="62" customFormat="false" ht="15" hidden="false" customHeight="true" outlineLevel="0" collapsed="false">
      <c r="A62" s="7" t="s">
        <v>35</v>
      </c>
      <c r="B62" s="8" t="s">
        <v>36</v>
      </c>
      <c r="C62" s="8" t="s">
        <v>37</v>
      </c>
      <c r="D62" s="7" t="s">
        <v>38</v>
      </c>
      <c r="E62" s="6" t="s">
        <v>25</v>
      </c>
      <c r="F62" s="6" t="n">
        <v>24</v>
      </c>
      <c r="G62" s="6" t="s">
        <v>13</v>
      </c>
    </row>
    <row r="63" customFormat="false" ht="15" hidden="false" customHeight="true" outlineLevel="0" collapsed="false">
      <c r="A63" s="4" t="s">
        <v>39</v>
      </c>
      <c r="B63" s="5" t="s">
        <v>40</v>
      </c>
      <c r="C63" s="5" t="s">
        <v>41</v>
      </c>
      <c r="D63" s="4" t="s">
        <v>38</v>
      </c>
      <c r="E63" s="9" t="s">
        <v>12</v>
      </c>
      <c r="F63" s="9" t="n">
        <v>19</v>
      </c>
      <c r="G63" s="9" t="s">
        <v>16</v>
      </c>
    </row>
    <row r="64" customFormat="false" ht="15" hidden="false" customHeight="true" outlineLevel="0" collapsed="false">
      <c r="A64" s="7" t="s">
        <v>39</v>
      </c>
      <c r="B64" s="8" t="s">
        <v>40</v>
      </c>
      <c r="C64" s="8" t="s">
        <v>41</v>
      </c>
      <c r="D64" s="7" t="s">
        <v>38</v>
      </c>
      <c r="E64" s="9" t="s">
        <v>14</v>
      </c>
      <c r="F64" s="9" t="n">
        <v>20</v>
      </c>
      <c r="G64" s="9" t="s">
        <v>16</v>
      </c>
    </row>
    <row r="65" customFormat="false" ht="15" hidden="false" customHeight="true" outlineLevel="0" collapsed="false">
      <c r="A65" s="4" t="s">
        <v>39</v>
      </c>
      <c r="B65" s="5" t="s">
        <v>40</v>
      </c>
      <c r="C65" s="5" t="s">
        <v>41</v>
      </c>
      <c r="D65" s="4" t="s">
        <v>38</v>
      </c>
      <c r="E65" s="6" t="s">
        <v>15</v>
      </c>
      <c r="F65" s="6" t="n">
        <v>22</v>
      </c>
      <c r="G65" s="6" t="s">
        <v>13</v>
      </c>
    </row>
    <row r="66" customFormat="false" ht="15" hidden="false" customHeight="true" outlineLevel="0" collapsed="false">
      <c r="A66" s="7" t="s">
        <v>39</v>
      </c>
      <c r="B66" s="8" t="s">
        <v>40</v>
      </c>
      <c r="C66" s="8" t="s">
        <v>41</v>
      </c>
      <c r="D66" s="7" t="s">
        <v>38</v>
      </c>
      <c r="E66" s="9" t="s">
        <v>17</v>
      </c>
      <c r="F66" s="9" t="n">
        <v>18</v>
      </c>
      <c r="G66" s="9" t="s">
        <v>16</v>
      </c>
    </row>
    <row r="67" customFormat="false" ht="15" hidden="false" customHeight="true" outlineLevel="0" collapsed="false">
      <c r="A67" s="4" t="s">
        <v>39</v>
      </c>
      <c r="B67" s="5" t="s">
        <v>40</v>
      </c>
      <c r="C67" s="5" t="s">
        <v>41</v>
      </c>
      <c r="D67" s="4" t="s">
        <v>38</v>
      </c>
      <c r="E67" s="6" t="s">
        <v>18</v>
      </c>
      <c r="F67" s="6" t="n">
        <v>24</v>
      </c>
      <c r="G67" s="6" t="s">
        <v>13</v>
      </c>
    </row>
    <row r="68" customFormat="false" ht="15" hidden="false" customHeight="true" outlineLevel="0" collapsed="false">
      <c r="A68" s="7" t="s">
        <v>39</v>
      </c>
      <c r="B68" s="8" t="s">
        <v>40</v>
      </c>
      <c r="C68" s="8" t="s">
        <v>41</v>
      </c>
      <c r="D68" s="7" t="s">
        <v>38</v>
      </c>
      <c r="E68" s="6" t="s">
        <v>19</v>
      </c>
      <c r="F68" s="6" t="n">
        <v>23</v>
      </c>
      <c r="G68" s="6" t="s">
        <v>13</v>
      </c>
    </row>
    <row r="69" customFormat="false" ht="15" hidden="false" customHeight="true" outlineLevel="0" collapsed="false">
      <c r="A69" s="4" t="s">
        <v>39</v>
      </c>
      <c r="B69" s="5" t="s">
        <v>40</v>
      </c>
      <c r="C69" s="5" t="s">
        <v>41</v>
      </c>
      <c r="D69" s="4" t="s">
        <v>38</v>
      </c>
      <c r="E69" s="9" t="s">
        <v>20</v>
      </c>
      <c r="F69" s="9" t="n">
        <v>20</v>
      </c>
      <c r="G69" s="9" t="s">
        <v>16</v>
      </c>
    </row>
    <row r="70" customFormat="false" ht="15" hidden="false" customHeight="true" outlineLevel="0" collapsed="false">
      <c r="A70" s="7" t="s">
        <v>39</v>
      </c>
      <c r="B70" s="8" t="s">
        <v>40</v>
      </c>
      <c r="C70" s="8" t="s">
        <v>41</v>
      </c>
      <c r="D70" s="7" t="s">
        <v>38</v>
      </c>
      <c r="E70" s="6" t="s">
        <v>21</v>
      </c>
      <c r="F70" s="6" t="n">
        <v>26</v>
      </c>
      <c r="G70" s="6" t="s">
        <v>13</v>
      </c>
    </row>
    <row r="71" customFormat="false" ht="15" hidden="false" customHeight="true" outlineLevel="0" collapsed="false">
      <c r="A71" s="4" t="s">
        <v>39</v>
      </c>
      <c r="B71" s="5" t="s">
        <v>40</v>
      </c>
      <c r="C71" s="5" t="s">
        <v>41</v>
      </c>
      <c r="D71" s="4" t="s">
        <v>38</v>
      </c>
      <c r="E71" s="6" t="s">
        <v>22</v>
      </c>
      <c r="F71" s="6" t="n">
        <v>24</v>
      </c>
      <c r="G71" s="6" t="s">
        <v>13</v>
      </c>
    </row>
    <row r="72" customFormat="false" ht="15" hidden="false" customHeight="true" outlineLevel="0" collapsed="false">
      <c r="A72" s="7" t="s">
        <v>39</v>
      </c>
      <c r="B72" s="8" t="s">
        <v>40</v>
      </c>
      <c r="C72" s="8" t="s">
        <v>41</v>
      </c>
      <c r="D72" s="7" t="s">
        <v>38</v>
      </c>
      <c r="E72" s="9" t="s">
        <v>23</v>
      </c>
      <c r="F72" s="9" t="n">
        <v>21</v>
      </c>
      <c r="G72" s="9" t="s">
        <v>16</v>
      </c>
    </row>
    <row r="73" customFormat="false" ht="15" hidden="false" customHeight="true" outlineLevel="0" collapsed="false">
      <c r="A73" s="4" t="s">
        <v>39</v>
      </c>
      <c r="B73" s="5" t="s">
        <v>40</v>
      </c>
      <c r="C73" s="5" t="s">
        <v>41</v>
      </c>
      <c r="D73" s="4" t="s">
        <v>38</v>
      </c>
      <c r="E73" s="9" t="s">
        <v>24</v>
      </c>
      <c r="F73" s="9" t="n">
        <v>18</v>
      </c>
      <c r="G73" s="9" t="s">
        <v>16</v>
      </c>
    </row>
    <row r="74" customFormat="false" ht="15" hidden="false" customHeight="true" outlineLevel="0" collapsed="false">
      <c r="A74" s="7" t="s">
        <v>39</v>
      </c>
      <c r="B74" s="8" t="s">
        <v>40</v>
      </c>
      <c r="C74" s="8" t="s">
        <v>41</v>
      </c>
      <c r="D74" s="7" t="s">
        <v>38</v>
      </c>
      <c r="E74" s="9" t="s">
        <v>25</v>
      </c>
      <c r="F74" s="9" t="n">
        <v>21</v>
      </c>
      <c r="G74" s="9" t="s">
        <v>16</v>
      </c>
    </row>
    <row r="75" customFormat="false" ht="15" hidden="false" customHeight="true" outlineLevel="0" collapsed="false">
      <c r="A75" s="4" t="s">
        <v>42</v>
      </c>
      <c r="B75" s="5" t="s">
        <v>43</v>
      </c>
      <c r="C75" s="5" t="s">
        <v>31</v>
      </c>
      <c r="D75" s="4" t="s">
        <v>44</v>
      </c>
      <c r="E75" s="6" t="s">
        <v>12</v>
      </c>
      <c r="F75" s="6" t="n">
        <v>25</v>
      </c>
      <c r="G75" s="6" t="s">
        <v>13</v>
      </c>
    </row>
    <row r="76" customFormat="false" ht="15" hidden="false" customHeight="true" outlineLevel="0" collapsed="false">
      <c r="A76" s="7" t="s">
        <v>42</v>
      </c>
      <c r="B76" s="8" t="s">
        <v>43</v>
      </c>
      <c r="C76" s="8" t="s">
        <v>31</v>
      </c>
      <c r="D76" s="7" t="s">
        <v>44</v>
      </c>
      <c r="E76" s="6" t="s">
        <v>14</v>
      </c>
      <c r="F76" s="6" t="n">
        <v>22</v>
      </c>
      <c r="G76" s="6" t="s">
        <v>13</v>
      </c>
    </row>
    <row r="77" customFormat="false" ht="15" hidden="false" customHeight="true" outlineLevel="0" collapsed="false">
      <c r="A77" s="4" t="s">
        <v>42</v>
      </c>
      <c r="B77" s="5" t="s">
        <v>43</v>
      </c>
      <c r="C77" s="5" t="s">
        <v>31</v>
      </c>
      <c r="D77" s="4" t="s">
        <v>44</v>
      </c>
      <c r="E77" s="6" t="s">
        <v>15</v>
      </c>
      <c r="F77" s="6" t="n">
        <v>26</v>
      </c>
      <c r="G77" s="6" t="s">
        <v>13</v>
      </c>
    </row>
    <row r="78" customFormat="false" ht="15" hidden="false" customHeight="true" outlineLevel="0" collapsed="false">
      <c r="A78" s="7" t="s">
        <v>42</v>
      </c>
      <c r="B78" s="8" t="s">
        <v>43</v>
      </c>
      <c r="C78" s="8" t="s">
        <v>31</v>
      </c>
      <c r="D78" s="7" t="s">
        <v>44</v>
      </c>
      <c r="E78" s="6" t="s">
        <v>17</v>
      </c>
      <c r="F78" s="6" t="n">
        <v>24</v>
      </c>
      <c r="G78" s="6" t="s">
        <v>13</v>
      </c>
    </row>
    <row r="79" customFormat="false" ht="15" hidden="false" customHeight="true" outlineLevel="0" collapsed="false">
      <c r="A79" s="4" t="s">
        <v>42</v>
      </c>
      <c r="B79" s="5" t="s">
        <v>43</v>
      </c>
      <c r="C79" s="5" t="s">
        <v>31</v>
      </c>
      <c r="D79" s="4" t="s">
        <v>44</v>
      </c>
      <c r="E79" s="9" t="s">
        <v>18</v>
      </c>
      <c r="F79" s="9" t="n">
        <v>20</v>
      </c>
      <c r="G79" s="9" t="s">
        <v>16</v>
      </c>
    </row>
    <row r="80" customFormat="false" ht="15" hidden="false" customHeight="true" outlineLevel="0" collapsed="false">
      <c r="A80" s="7" t="s">
        <v>42</v>
      </c>
      <c r="B80" s="8" t="s">
        <v>43</v>
      </c>
      <c r="C80" s="8" t="s">
        <v>31</v>
      </c>
      <c r="D80" s="7" t="s">
        <v>44</v>
      </c>
      <c r="E80" s="6" t="s">
        <v>19</v>
      </c>
      <c r="F80" s="6" t="n">
        <v>23</v>
      </c>
      <c r="G80" s="6" t="s">
        <v>13</v>
      </c>
    </row>
    <row r="81" customFormat="false" ht="15" hidden="false" customHeight="true" outlineLevel="0" collapsed="false">
      <c r="A81" s="4" t="s">
        <v>42</v>
      </c>
      <c r="B81" s="5" t="s">
        <v>43</v>
      </c>
      <c r="C81" s="5" t="s">
        <v>31</v>
      </c>
      <c r="D81" s="4" t="s">
        <v>44</v>
      </c>
      <c r="E81" s="6" t="s">
        <v>20</v>
      </c>
      <c r="F81" s="6" t="n">
        <v>25</v>
      </c>
      <c r="G81" s="6" t="s">
        <v>13</v>
      </c>
    </row>
    <row r="82" customFormat="false" ht="15" hidden="false" customHeight="true" outlineLevel="0" collapsed="false">
      <c r="A82" s="7" t="s">
        <v>42</v>
      </c>
      <c r="B82" s="8" t="s">
        <v>43</v>
      </c>
      <c r="C82" s="8" t="s">
        <v>31</v>
      </c>
      <c r="D82" s="7" t="s">
        <v>44</v>
      </c>
      <c r="E82" s="9" t="s">
        <v>21</v>
      </c>
      <c r="F82" s="9" t="n">
        <v>18</v>
      </c>
      <c r="G82" s="9" t="s">
        <v>16</v>
      </c>
    </row>
    <row r="83" customFormat="false" ht="15" hidden="false" customHeight="true" outlineLevel="0" collapsed="false">
      <c r="A83" s="4" t="s">
        <v>42</v>
      </c>
      <c r="B83" s="5" t="s">
        <v>43</v>
      </c>
      <c r="C83" s="5" t="s">
        <v>31</v>
      </c>
      <c r="D83" s="4" t="s">
        <v>44</v>
      </c>
      <c r="E83" s="9" t="s">
        <v>22</v>
      </c>
      <c r="F83" s="9" t="n">
        <v>20</v>
      </c>
      <c r="G83" s="9" t="s">
        <v>16</v>
      </c>
    </row>
    <row r="84" customFormat="false" ht="15" hidden="false" customHeight="true" outlineLevel="0" collapsed="false">
      <c r="A84" s="7" t="s">
        <v>42</v>
      </c>
      <c r="B84" s="8" t="s">
        <v>43</v>
      </c>
      <c r="C84" s="8" t="s">
        <v>31</v>
      </c>
      <c r="D84" s="7" t="s">
        <v>44</v>
      </c>
      <c r="E84" s="9" t="s">
        <v>23</v>
      </c>
      <c r="F84" s="9" t="n">
        <v>20</v>
      </c>
      <c r="G84" s="9" t="s">
        <v>16</v>
      </c>
    </row>
    <row r="85" customFormat="false" ht="15" hidden="false" customHeight="true" outlineLevel="0" collapsed="false">
      <c r="A85" s="4" t="s">
        <v>42</v>
      </c>
      <c r="B85" s="5" t="s">
        <v>43</v>
      </c>
      <c r="C85" s="5" t="s">
        <v>31</v>
      </c>
      <c r="D85" s="4" t="s">
        <v>44</v>
      </c>
      <c r="E85" s="6" t="s">
        <v>24</v>
      </c>
      <c r="F85" s="6" t="n">
        <v>24</v>
      </c>
      <c r="G85" s="6" t="s">
        <v>13</v>
      </c>
    </row>
    <row r="86" customFormat="false" ht="15" hidden="false" customHeight="true" outlineLevel="0" collapsed="false">
      <c r="A86" s="7" t="s">
        <v>42</v>
      </c>
      <c r="B86" s="8" t="s">
        <v>43</v>
      </c>
      <c r="C86" s="8" t="s">
        <v>31</v>
      </c>
      <c r="D86" s="7" t="s">
        <v>44</v>
      </c>
      <c r="E86" s="9" t="s">
        <v>25</v>
      </c>
      <c r="F86" s="9" t="n">
        <v>19</v>
      </c>
      <c r="G86" s="9" t="s">
        <v>16</v>
      </c>
    </row>
    <row r="87" customFormat="false" ht="15" hidden="false" customHeight="true" outlineLevel="0" collapsed="false">
      <c r="A87" s="4" t="s">
        <v>45</v>
      </c>
      <c r="B87" s="5" t="s">
        <v>46</v>
      </c>
      <c r="C87" s="5" t="s">
        <v>28</v>
      </c>
      <c r="D87" s="4" t="s">
        <v>44</v>
      </c>
      <c r="E87" s="9" t="s">
        <v>12</v>
      </c>
      <c r="F87" s="9" t="n">
        <v>19</v>
      </c>
      <c r="G87" s="9" t="s">
        <v>16</v>
      </c>
    </row>
    <row r="88" customFormat="false" ht="15" hidden="false" customHeight="true" outlineLevel="0" collapsed="false">
      <c r="A88" s="7" t="s">
        <v>45</v>
      </c>
      <c r="B88" s="8" t="s">
        <v>46</v>
      </c>
      <c r="C88" s="8" t="s">
        <v>28</v>
      </c>
      <c r="D88" s="7" t="s">
        <v>44</v>
      </c>
      <c r="E88" s="9" t="s">
        <v>14</v>
      </c>
      <c r="F88" s="9" t="n">
        <v>19</v>
      </c>
      <c r="G88" s="9" t="s">
        <v>16</v>
      </c>
    </row>
    <row r="89" customFormat="false" ht="15" hidden="false" customHeight="true" outlineLevel="0" collapsed="false">
      <c r="A89" s="4" t="s">
        <v>45</v>
      </c>
      <c r="B89" s="5" t="s">
        <v>46</v>
      </c>
      <c r="C89" s="5" t="s">
        <v>28</v>
      </c>
      <c r="D89" s="4" t="s">
        <v>44</v>
      </c>
      <c r="E89" s="9" t="s">
        <v>15</v>
      </c>
      <c r="F89" s="9" t="n">
        <v>20</v>
      </c>
      <c r="G89" s="9" t="s">
        <v>16</v>
      </c>
    </row>
    <row r="90" customFormat="false" ht="15" hidden="false" customHeight="true" outlineLevel="0" collapsed="false">
      <c r="A90" s="7" t="s">
        <v>45</v>
      </c>
      <c r="B90" s="8" t="s">
        <v>46</v>
      </c>
      <c r="C90" s="8" t="s">
        <v>28</v>
      </c>
      <c r="D90" s="7" t="s">
        <v>44</v>
      </c>
      <c r="E90" s="6" t="s">
        <v>17</v>
      </c>
      <c r="F90" s="6" t="n">
        <v>22</v>
      </c>
      <c r="G90" s="6" t="s">
        <v>13</v>
      </c>
    </row>
    <row r="91" customFormat="false" ht="15" hidden="false" customHeight="true" outlineLevel="0" collapsed="false">
      <c r="A91" s="4" t="s">
        <v>45</v>
      </c>
      <c r="B91" s="5" t="s">
        <v>46</v>
      </c>
      <c r="C91" s="5" t="s">
        <v>28</v>
      </c>
      <c r="D91" s="4" t="s">
        <v>44</v>
      </c>
      <c r="E91" s="9" t="s">
        <v>18</v>
      </c>
      <c r="F91" s="9" t="n">
        <v>20</v>
      </c>
      <c r="G91" s="9" t="s">
        <v>16</v>
      </c>
    </row>
    <row r="92" customFormat="false" ht="15" hidden="false" customHeight="true" outlineLevel="0" collapsed="false">
      <c r="A92" s="7" t="s">
        <v>45</v>
      </c>
      <c r="B92" s="8" t="s">
        <v>46</v>
      </c>
      <c r="C92" s="8" t="s">
        <v>28</v>
      </c>
      <c r="D92" s="7" t="s">
        <v>44</v>
      </c>
      <c r="E92" s="9" t="s">
        <v>19</v>
      </c>
      <c r="F92" s="9" t="n">
        <v>20</v>
      </c>
      <c r="G92" s="9" t="s">
        <v>16</v>
      </c>
    </row>
    <row r="93" customFormat="false" ht="15" hidden="false" customHeight="true" outlineLevel="0" collapsed="false">
      <c r="A93" s="4" t="s">
        <v>45</v>
      </c>
      <c r="B93" s="5" t="s">
        <v>46</v>
      </c>
      <c r="C93" s="5" t="s">
        <v>28</v>
      </c>
      <c r="D93" s="4" t="s">
        <v>44</v>
      </c>
      <c r="E93" s="6" t="s">
        <v>20</v>
      </c>
      <c r="F93" s="6" t="n">
        <v>24</v>
      </c>
      <c r="G93" s="6" t="s">
        <v>13</v>
      </c>
    </row>
    <row r="94" customFormat="false" ht="15" hidden="false" customHeight="true" outlineLevel="0" collapsed="false">
      <c r="A94" s="7" t="s">
        <v>45</v>
      </c>
      <c r="B94" s="8" t="s">
        <v>46</v>
      </c>
      <c r="C94" s="8" t="s">
        <v>28</v>
      </c>
      <c r="D94" s="7" t="s">
        <v>44</v>
      </c>
      <c r="E94" s="9" t="s">
        <v>21</v>
      </c>
      <c r="F94" s="9" t="n">
        <v>20</v>
      </c>
      <c r="G94" s="9" t="s">
        <v>16</v>
      </c>
    </row>
    <row r="95" customFormat="false" ht="15" hidden="false" customHeight="true" outlineLevel="0" collapsed="false">
      <c r="A95" s="4" t="s">
        <v>45</v>
      </c>
      <c r="B95" s="5" t="s">
        <v>46</v>
      </c>
      <c r="C95" s="5" t="s">
        <v>28</v>
      </c>
      <c r="D95" s="4" t="s">
        <v>44</v>
      </c>
      <c r="E95" s="9" t="s">
        <v>22</v>
      </c>
      <c r="F95" s="9" t="n">
        <v>21</v>
      </c>
      <c r="G95" s="9" t="s">
        <v>16</v>
      </c>
    </row>
    <row r="96" customFormat="false" ht="15" hidden="false" customHeight="true" outlineLevel="0" collapsed="false">
      <c r="A96" s="7" t="s">
        <v>45</v>
      </c>
      <c r="B96" s="8" t="s">
        <v>46</v>
      </c>
      <c r="C96" s="8" t="s">
        <v>28</v>
      </c>
      <c r="D96" s="7" t="s">
        <v>44</v>
      </c>
      <c r="E96" s="6" t="s">
        <v>23</v>
      </c>
      <c r="F96" s="6" t="n">
        <v>26</v>
      </c>
      <c r="G96" s="6" t="s">
        <v>13</v>
      </c>
    </row>
    <row r="97" customFormat="false" ht="15" hidden="false" customHeight="true" outlineLevel="0" collapsed="false">
      <c r="A97" s="4" t="s">
        <v>45</v>
      </c>
      <c r="B97" s="5" t="s">
        <v>46</v>
      </c>
      <c r="C97" s="5" t="s">
        <v>28</v>
      </c>
      <c r="D97" s="4" t="s">
        <v>44</v>
      </c>
      <c r="E97" s="6" t="s">
        <v>24</v>
      </c>
      <c r="F97" s="6" t="n">
        <v>23</v>
      </c>
      <c r="G97" s="6" t="s">
        <v>13</v>
      </c>
    </row>
    <row r="98" customFormat="false" ht="15" hidden="false" customHeight="true" outlineLevel="0" collapsed="false">
      <c r="A98" s="7" t="s">
        <v>45</v>
      </c>
      <c r="B98" s="8" t="s">
        <v>46</v>
      </c>
      <c r="C98" s="8" t="s">
        <v>28</v>
      </c>
      <c r="D98" s="7" t="s">
        <v>44</v>
      </c>
      <c r="E98" s="6" t="s">
        <v>25</v>
      </c>
      <c r="F98" s="6" t="n">
        <v>25</v>
      </c>
      <c r="G98" s="6" t="s">
        <v>13</v>
      </c>
    </row>
    <row r="99" customFormat="false" ht="15" hidden="false" customHeight="true" outlineLevel="0" collapsed="false">
      <c r="A99" s="4" t="s">
        <v>47</v>
      </c>
      <c r="B99" s="5" t="s">
        <v>48</v>
      </c>
      <c r="C99" s="5" t="s">
        <v>49</v>
      </c>
      <c r="D99" s="4" t="s">
        <v>11</v>
      </c>
      <c r="E99" s="9" t="s">
        <v>12</v>
      </c>
      <c r="F99" s="9" t="n">
        <v>21</v>
      </c>
      <c r="G99" s="9" t="s">
        <v>16</v>
      </c>
    </row>
    <row r="100" customFormat="false" ht="15" hidden="false" customHeight="true" outlineLevel="0" collapsed="false">
      <c r="A100" s="7" t="s">
        <v>47</v>
      </c>
      <c r="B100" s="8" t="s">
        <v>48</v>
      </c>
      <c r="C100" s="8" t="s">
        <v>49</v>
      </c>
      <c r="D100" s="7" t="s">
        <v>11</v>
      </c>
      <c r="E100" s="6" t="s">
        <v>14</v>
      </c>
      <c r="F100" s="6" t="n">
        <v>22</v>
      </c>
      <c r="G100" s="6" t="s">
        <v>13</v>
      </c>
    </row>
    <row r="101" customFormat="false" ht="15" hidden="false" customHeight="true" outlineLevel="0" collapsed="false">
      <c r="A101" s="4" t="s">
        <v>47</v>
      </c>
      <c r="B101" s="5" t="s">
        <v>48</v>
      </c>
      <c r="C101" s="5" t="s">
        <v>49</v>
      </c>
      <c r="D101" s="4" t="s">
        <v>11</v>
      </c>
      <c r="E101" s="9" t="s">
        <v>15</v>
      </c>
      <c r="F101" s="9" t="n">
        <v>19</v>
      </c>
      <c r="G101" s="9" t="s">
        <v>16</v>
      </c>
    </row>
    <row r="102" customFormat="false" ht="15" hidden="false" customHeight="true" outlineLevel="0" collapsed="false">
      <c r="A102" s="7" t="s">
        <v>47</v>
      </c>
      <c r="B102" s="8" t="s">
        <v>48</v>
      </c>
      <c r="C102" s="8" t="s">
        <v>49</v>
      </c>
      <c r="D102" s="7" t="s">
        <v>11</v>
      </c>
      <c r="E102" s="6" t="s">
        <v>17</v>
      </c>
      <c r="F102" s="6" t="n">
        <v>23</v>
      </c>
      <c r="G102" s="6" t="s">
        <v>13</v>
      </c>
    </row>
    <row r="103" customFormat="false" ht="15" hidden="false" customHeight="true" outlineLevel="0" collapsed="false">
      <c r="A103" s="4" t="s">
        <v>47</v>
      </c>
      <c r="B103" s="5" t="s">
        <v>48</v>
      </c>
      <c r="C103" s="5" t="s">
        <v>49</v>
      </c>
      <c r="D103" s="4" t="s">
        <v>11</v>
      </c>
      <c r="E103" s="9" t="s">
        <v>18</v>
      </c>
      <c r="F103" s="9" t="n">
        <v>20</v>
      </c>
      <c r="G103" s="9" t="s">
        <v>16</v>
      </c>
    </row>
    <row r="104" customFormat="false" ht="15" hidden="false" customHeight="true" outlineLevel="0" collapsed="false">
      <c r="A104" s="7" t="s">
        <v>47</v>
      </c>
      <c r="B104" s="8" t="s">
        <v>48</v>
      </c>
      <c r="C104" s="8" t="s">
        <v>49</v>
      </c>
      <c r="D104" s="7" t="s">
        <v>11</v>
      </c>
      <c r="E104" s="9" t="s">
        <v>19</v>
      </c>
      <c r="F104" s="9" t="n">
        <v>19</v>
      </c>
      <c r="G104" s="9" t="s">
        <v>16</v>
      </c>
    </row>
    <row r="105" customFormat="false" ht="15" hidden="false" customHeight="true" outlineLevel="0" collapsed="false">
      <c r="A105" s="4" t="s">
        <v>47</v>
      </c>
      <c r="B105" s="5" t="s">
        <v>48</v>
      </c>
      <c r="C105" s="5" t="s">
        <v>49</v>
      </c>
      <c r="D105" s="4" t="s">
        <v>11</v>
      </c>
      <c r="E105" s="6" t="s">
        <v>20</v>
      </c>
      <c r="F105" s="6" t="n">
        <v>26</v>
      </c>
      <c r="G105" s="6" t="s">
        <v>13</v>
      </c>
    </row>
    <row r="106" customFormat="false" ht="15" hidden="false" customHeight="true" outlineLevel="0" collapsed="false">
      <c r="A106" s="7" t="s">
        <v>47</v>
      </c>
      <c r="B106" s="8" t="s">
        <v>48</v>
      </c>
      <c r="C106" s="8" t="s">
        <v>49</v>
      </c>
      <c r="D106" s="7" t="s">
        <v>11</v>
      </c>
      <c r="E106" s="6" t="s">
        <v>21</v>
      </c>
      <c r="F106" s="6" t="n">
        <v>22</v>
      </c>
      <c r="G106" s="6" t="s">
        <v>13</v>
      </c>
    </row>
    <row r="107" customFormat="false" ht="15" hidden="false" customHeight="true" outlineLevel="0" collapsed="false">
      <c r="A107" s="4" t="s">
        <v>47</v>
      </c>
      <c r="B107" s="5" t="s">
        <v>48</v>
      </c>
      <c r="C107" s="5" t="s">
        <v>49</v>
      </c>
      <c r="D107" s="4" t="s">
        <v>11</v>
      </c>
      <c r="E107" s="9" t="s">
        <v>22</v>
      </c>
      <c r="F107" s="9" t="n">
        <v>18</v>
      </c>
      <c r="G107" s="9" t="s">
        <v>16</v>
      </c>
    </row>
    <row r="108" customFormat="false" ht="15" hidden="false" customHeight="true" outlineLevel="0" collapsed="false">
      <c r="A108" s="7" t="s">
        <v>47</v>
      </c>
      <c r="B108" s="8" t="s">
        <v>48</v>
      </c>
      <c r="C108" s="8" t="s">
        <v>49</v>
      </c>
      <c r="D108" s="7" t="s">
        <v>11</v>
      </c>
      <c r="E108" s="9" t="s">
        <v>23</v>
      </c>
      <c r="F108" s="9" t="n">
        <v>18</v>
      </c>
      <c r="G108" s="9" t="s">
        <v>16</v>
      </c>
    </row>
    <row r="109" customFormat="false" ht="15" hidden="false" customHeight="true" outlineLevel="0" collapsed="false">
      <c r="A109" s="4" t="s">
        <v>47</v>
      </c>
      <c r="B109" s="5" t="s">
        <v>48</v>
      </c>
      <c r="C109" s="5" t="s">
        <v>49</v>
      </c>
      <c r="D109" s="4" t="s">
        <v>11</v>
      </c>
      <c r="E109" s="6" t="s">
        <v>24</v>
      </c>
      <c r="F109" s="6" t="n">
        <v>23</v>
      </c>
      <c r="G109" s="6" t="s">
        <v>13</v>
      </c>
    </row>
    <row r="110" customFormat="false" ht="15" hidden="false" customHeight="true" outlineLevel="0" collapsed="false">
      <c r="A110" s="7" t="s">
        <v>47</v>
      </c>
      <c r="B110" s="8" t="s">
        <v>48</v>
      </c>
      <c r="C110" s="8" t="s">
        <v>49</v>
      </c>
      <c r="D110" s="7" t="s">
        <v>11</v>
      </c>
      <c r="E110" s="9" t="s">
        <v>25</v>
      </c>
      <c r="F110" s="9" t="n">
        <v>21</v>
      </c>
      <c r="G110" s="9" t="s">
        <v>16</v>
      </c>
    </row>
    <row r="111" customFormat="false" ht="15" hidden="false" customHeight="true" outlineLevel="0" collapsed="false">
      <c r="A111" s="4" t="s">
        <v>50</v>
      </c>
      <c r="B111" s="5" t="s">
        <v>51</v>
      </c>
      <c r="C111" s="5" t="s">
        <v>52</v>
      </c>
      <c r="D111" s="4" t="s">
        <v>32</v>
      </c>
      <c r="E111" s="6" t="s">
        <v>12</v>
      </c>
      <c r="F111" s="6" t="n">
        <v>24</v>
      </c>
      <c r="G111" s="6" t="s">
        <v>13</v>
      </c>
    </row>
    <row r="112" customFormat="false" ht="15" hidden="false" customHeight="true" outlineLevel="0" collapsed="false">
      <c r="A112" s="7" t="s">
        <v>50</v>
      </c>
      <c r="B112" s="8" t="s">
        <v>51</v>
      </c>
      <c r="C112" s="8" t="s">
        <v>52</v>
      </c>
      <c r="D112" s="7" t="s">
        <v>32</v>
      </c>
      <c r="E112" s="6" t="s">
        <v>14</v>
      </c>
      <c r="F112" s="6" t="n">
        <v>24</v>
      </c>
      <c r="G112" s="6" t="s">
        <v>13</v>
      </c>
    </row>
    <row r="113" customFormat="false" ht="15" hidden="false" customHeight="true" outlineLevel="0" collapsed="false">
      <c r="A113" s="4" t="s">
        <v>50</v>
      </c>
      <c r="B113" s="5" t="s">
        <v>51</v>
      </c>
      <c r="C113" s="5" t="s">
        <v>52</v>
      </c>
      <c r="D113" s="4" t="s">
        <v>32</v>
      </c>
      <c r="E113" s="6" t="s">
        <v>15</v>
      </c>
      <c r="F113" s="6" t="n">
        <v>23</v>
      </c>
      <c r="G113" s="6" t="s">
        <v>13</v>
      </c>
    </row>
    <row r="114" customFormat="false" ht="15" hidden="false" customHeight="true" outlineLevel="0" collapsed="false">
      <c r="A114" s="7" t="s">
        <v>50</v>
      </c>
      <c r="B114" s="8" t="s">
        <v>51</v>
      </c>
      <c r="C114" s="8" t="s">
        <v>52</v>
      </c>
      <c r="D114" s="7" t="s">
        <v>32</v>
      </c>
      <c r="E114" s="6" t="s">
        <v>17</v>
      </c>
      <c r="F114" s="6" t="n">
        <v>24</v>
      </c>
      <c r="G114" s="6" t="s">
        <v>13</v>
      </c>
    </row>
    <row r="115" customFormat="false" ht="15" hidden="false" customHeight="true" outlineLevel="0" collapsed="false">
      <c r="A115" s="4" t="s">
        <v>50</v>
      </c>
      <c r="B115" s="5" t="s">
        <v>51</v>
      </c>
      <c r="C115" s="5" t="s">
        <v>52</v>
      </c>
      <c r="D115" s="4" t="s">
        <v>32</v>
      </c>
      <c r="E115" s="6" t="s">
        <v>18</v>
      </c>
      <c r="F115" s="6" t="n">
        <v>24</v>
      </c>
      <c r="G115" s="6" t="s">
        <v>13</v>
      </c>
    </row>
    <row r="116" customFormat="false" ht="15" hidden="false" customHeight="true" outlineLevel="0" collapsed="false">
      <c r="A116" s="7" t="s">
        <v>50</v>
      </c>
      <c r="B116" s="8" t="s">
        <v>51</v>
      </c>
      <c r="C116" s="8" t="s">
        <v>52</v>
      </c>
      <c r="D116" s="7" t="s">
        <v>32</v>
      </c>
      <c r="E116" s="6" t="s">
        <v>19</v>
      </c>
      <c r="F116" s="6" t="n">
        <v>24</v>
      </c>
      <c r="G116" s="6" t="s">
        <v>13</v>
      </c>
    </row>
    <row r="117" customFormat="false" ht="15" hidden="false" customHeight="true" outlineLevel="0" collapsed="false">
      <c r="A117" s="4" t="s">
        <v>50</v>
      </c>
      <c r="B117" s="5" t="s">
        <v>51</v>
      </c>
      <c r="C117" s="5" t="s">
        <v>52</v>
      </c>
      <c r="D117" s="4" t="s">
        <v>32</v>
      </c>
      <c r="E117" s="6" t="s">
        <v>20</v>
      </c>
      <c r="F117" s="6" t="n">
        <v>23</v>
      </c>
      <c r="G117" s="6" t="s">
        <v>13</v>
      </c>
    </row>
    <row r="118" customFormat="false" ht="15" hidden="false" customHeight="true" outlineLevel="0" collapsed="false">
      <c r="A118" s="7" t="s">
        <v>50</v>
      </c>
      <c r="B118" s="8" t="s">
        <v>51</v>
      </c>
      <c r="C118" s="8" t="s">
        <v>52</v>
      </c>
      <c r="D118" s="7" t="s">
        <v>32</v>
      </c>
      <c r="E118" s="6" t="s">
        <v>21</v>
      </c>
      <c r="F118" s="6" t="n">
        <v>26</v>
      </c>
      <c r="G118" s="6" t="s">
        <v>13</v>
      </c>
    </row>
    <row r="119" customFormat="false" ht="15" hidden="false" customHeight="true" outlineLevel="0" collapsed="false">
      <c r="A119" s="4" t="s">
        <v>50</v>
      </c>
      <c r="B119" s="5" t="s">
        <v>51</v>
      </c>
      <c r="C119" s="5" t="s">
        <v>52</v>
      </c>
      <c r="D119" s="4" t="s">
        <v>32</v>
      </c>
      <c r="E119" s="9" t="s">
        <v>22</v>
      </c>
      <c r="F119" s="9" t="n">
        <v>19</v>
      </c>
      <c r="G119" s="9" t="s">
        <v>16</v>
      </c>
    </row>
    <row r="120" customFormat="false" ht="15" hidden="false" customHeight="true" outlineLevel="0" collapsed="false">
      <c r="A120" s="7" t="s">
        <v>50</v>
      </c>
      <c r="B120" s="8" t="s">
        <v>51</v>
      </c>
      <c r="C120" s="8" t="s">
        <v>52</v>
      </c>
      <c r="D120" s="7" t="s">
        <v>32</v>
      </c>
      <c r="E120" s="9" t="s">
        <v>23</v>
      </c>
      <c r="F120" s="9" t="n">
        <v>20</v>
      </c>
      <c r="G120" s="9" t="s">
        <v>16</v>
      </c>
    </row>
    <row r="121" customFormat="false" ht="15" hidden="false" customHeight="true" outlineLevel="0" collapsed="false">
      <c r="A121" s="4" t="s">
        <v>50</v>
      </c>
      <c r="B121" s="5" t="s">
        <v>51</v>
      </c>
      <c r="C121" s="5" t="s">
        <v>52</v>
      </c>
      <c r="D121" s="4" t="s">
        <v>32</v>
      </c>
      <c r="E121" s="9" t="s">
        <v>24</v>
      </c>
      <c r="F121" s="9" t="n">
        <v>18</v>
      </c>
      <c r="G121" s="9" t="s">
        <v>16</v>
      </c>
    </row>
    <row r="122" customFormat="false" ht="15" hidden="false" customHeight="true" outlineLevel="0" collapsed="false">
      <c r="A122" s="7" t="s">
        <v>50</v>
      </c>
      <c r="B122" s="8" t="s">
        <v>51</v>
      </c>
      <c r="C122" s="8" t="s">
        <v>52</v>
      </c>
      <c r="D122" s="7" t="s">
        <v>32</v>
      </c>
      <c r="E122" s="6" t="s">
        <v>25</v>
      </c>
      <c r="F122" s="6" t="n">
        <v>23</v>
      </c>
      <c r="G122" s="6" t="s">
        <v>13</v>
      </c>
    </row>
    <row r="123" customFormat="false" ht="15" hidden="false" customHeight="true" outlineLevel="0" collapsed="false">
      <c r="A123" s="4" t="s">
        <v>53</v>
      </c>
      <c r="B123" s="5" t="s">
        <v>54</v>
      </c>
      <c r="C123" s="5" t="s">
        <v>31</v>
      </c>
      <c r="D123" s="4" t="s">
        <v>38</v>
      </c>
      <c r="E123" s="6" t="s">
        <v>12</v>
      </c>
      <c r="F123" s="6" t="n">
        <v>24</v>
      </c>
      <c r="G123" s="6" t="s">
        <v>13</v>
      </c>
    </row>
    <row r="124" customFormat="false" ht="15" hidden="false" customHeight="true" outlineLevel="0" collapsed="false">
      <c r="A124" s="7" t="s">
        <v>53</v>
      </c>
      <c r="B124" s="8" t="s">
        <v>54</v>
      </c>
      <c r="C124" s="8" t="s">
        <v>31</v>
      </c>
      <c r="D124" s="7" t="s">
        <v>38</v>
      </c>
      <c r="E124" s="6" t="s">
        <v>14</v>
      </c>
      <c r="F124" s="6" t="n">
        <v>25</v>
      </c>
      <c r="G124" s="6" t="s">
        <v>13</v>
      </c>
    </row>
    <row r="125" customFormat="false" ht="15" hidden="false" customHeight="true" outlineLevel="0" collapsed="false">
      <c r="A125" s="4" t="s">
        <v>53</v>
      </c>
      <c r="B125" s="5" t="s">
        <v>54</v>
      </c>
      <c r="C125" s="5" t="s">
        <v>31</v>
      </c>
      <c r="D125" s="4" t="s">
        <v>38</v>
      </c>
      <c r="E125" s="9" t="s">
        <v>15</v>
      </c>
      <c r="F125" s="9" t="n">
        <v>21</v>
      </c>
      <c r="G125" s="9" t="s">
        <v>16</v>
      </c>
    </row>
    <row r="126" customFormat="false" ht="15" hidden="false" customHeight="true" outlineLevel="0" collapsed="false">
      <c r="A126" s="7" t="s">
        <v>53</v>
      </c>
      <c r="B126" s="8" t="s">
        <v>54</v>
      </c>
      <c r="C126" s="8" t="s">
        <v>31</v>
      </c>
      <c r="D126" s="7" t="s">
        <v>38</v>
      </c>
      <c r="E126" s="6" t="s">
        <v>17</v>
      </c>
      <c r="F126" s="6" t="n">
        <v>22</v>
      </c>
      <c r="G126" s="6" t="s">
        <v>13</v>
      </c>
    </row>
    <row r="127" customFormat="false" ht="15" hidden="false" customHeight="true" outlineLevel="0" collapsed="false">
      <c r="A127" s="4" t="s">
        <v>53</v>
      </c>
      <c r="B127" s="5" t="s">
        <v>54</v>
      </c>
      <c r="C127" s="5" t="s">
        <v>31</v>
      </c>
      <c r="D127" s="4" t="s">
        <v>38</v>
      </c>
      <c r="E127" s="9" t="s">
        <v>18</v>
      </c>
      <c r="F127" s="9" t="n">
        <v>21</v>
      </c>
      <c r="G127" s="9" t="s">
        <v>16</v>
      </c>
    </row>
    <row r="128" customFormat="false" ht="15" hidden="false" customHeight="true" outlineLevel="0" collapsed="false">
      <c r="A128" s="7" t="s">
        <v>53</v>
      </c>
      <c r="B128" s="8" t="s">
        <v>54</v>
      </c>
      <c r="C128" s="8" t="s">
        <v>31</v>
      </c>
      <c r="D128" s="7" t="s">
        <v>38</v>
      </c>
      <c r="E128" s="6" t="s">
        <v>19</v>
      </c>
      <c r="F128" s="6" t="n">
        <v>22</v>
      </c>
      <c r="G128" s="6" t="s">
        <v>13</v>
      </c>
    </row>
    <row r="129" customFormat="false" ht="15" hidden="false" customHeight="true" outlineLevel="0" collapsed="false">
      <c r="A129" s="4" t="s">
        <v>53</v>
      </c>
      <c r="B129" s="5" t="s">
        <v>54</v>
      </c>
      <c r="C129" s="5" t="s">
        <v>31</v>
      </c>
      <c r="D129" s="4" t="s">
        <v>38</v>
      </c>
      <c r="E129" s="9" t="s">
        <v>20</v>
      </c>
      <c r="F129" s="9" t="n">
        <v>19</v>
      </c>
      <c r="G129" s="9" t="s">
        <v>16</v>
      </c>
    </row>
    <row r="130" customFormat="false" ht="15" hidden="false" customHeight="true" outlineLevel="0" collapsed="false">
      <c r="A130" s="7" t="s">
        <v>53</v>
      </c>
      <c r="B130" s="8" t="s">
        <v>54</v>
      </c>
      <c r="C130" s="8" t="s">
        <v>31</v>
      </c>
      <c r="D130" s="7" t="s">
        <v>38</v>
      </c>
      <c r="E130" s="6" t="s">
        <v>21</v>
      </c>
      <c r="F130" s="6" t="n">
        <v>23</v>
      </c>
      <c r="G130" s="6" t="s">
        <v>13</v>
      </c>
    </row>
    <row r="131" customFormat="false" ht="15" hidden="false" customHeight="true" outlineLevel="0" collapsed="false">
      <c r="A131" s="4" t="s">
        <v>53</v>
      </c>
      <c r="B131" s="5" t="s">
        <v>54</v>
      </c>
      <c r="C131" s="5" t="s">
        <v>31</v>
      </c>
      <c r="D131" s="4" t="s">
        <v>38</v>
      </c>
      <c r="E131" s="9" t="s">
        <v>22</v>
      </c>
      <c r="F131" s="9" t="n">
        <v>21</v>
      </c>
      <c r="G131" s="9" t="s">
        <v>16</v>
      </c>
    </row>
    <row r="132" customFormat="false" ht="15" hidden="false" customHeight="true" outlineLevel="0" collapsed="false">
      <c r="A132" s="7" t="s">
        <v>53</v>
      </c>
      <c r="B132" s="8" t="s">
        <v>54</v>
      </c>
      <c r="C132" s="8" t="s">
        <v>31</v>
      </c>
      <c r="D132" s="7" t="s">
        <v>38</v>
      </c>
      <c r="E132" s="9" t="s">
        <v>23</v>
      </c>
      <c r="F132" s="9" t="n">
        <v>21</v>
      </c>
      <c r="G132" s="9" t="s">
        <v>16</v>
      </c>
    </row>
    <row r="133" customFormat="false" ht="15" hidden="false" customHeight="true" outlineLevel="0" collapsed="false">
      <c r="A133" s="4" t="s">
        <v>53</v>
      </c>
      <c r="B133" s="5" t="s">
        <v>54</v>
      </c>
      <c r="C133" s="5" t="s">
        <v>31</v>
      </c>
      <c r="D133" s="4" t="s">
        <v>38</v>
      </c>
      <c r="E133" s="6" t="s">
        <v>24</v>
      </c>
      <c r="F133" s="6" t="n">
        <v>24</v>
      </c>
      <c r="G133" s="6" t="s">
        <v>13</v>
      </c>
    </row>
    <row r="134" customFormat="false" ht="15" hidden="false" customHeight="true" outlineLevel="0" collapsed="false">
      <c r="A134" s="7" t="s">
        <v>53</v>
      </c>
      <c r="B134" s="8" t="s">
        <v>54</v>
      </c>
      <c r="C134" s="8" t="s">
        <v>31</v>
      </c>
      <c r="D134" s="7" t="s">
        <v>38</v>
      </c>
      <c r="E134" s="6" t="s">
        <v>25</v>
      </c>
      <c r="F134" s="6" t="n">
        <v>22</v>
      </c>
      <c r="G134" s="6" t="s">
        <v>13</v>
      </c>
    </row>
    <row r="135" customFormat="false" ht="15" hidden="false" customHeight="true" outlineLevel="0" collapsed="false">
      <c r="A135" s="4" t="s">
        <v>55</v>
      </c>
      <c r="B135" s="5" t="s">
        <v>56</v>
      </c>
      <c r="C135" s="5" t="s">
        <v>41</v>
      </c>
      <c r="D135" s="4" t="s">
        <v>44</v>
      </c>
      <c r="E135" s="6" t="s">
        <v>12</v>
      </c>
      <c r="F135" s="6" t="n">
        <v>25</v>
      </c>
      <c r="G135" s="6" t="s">
        <v>13</v>
      </c>
    </row>
    <row r="136" customFormat="false" ht="15" hidden="false" customHeight="true" outlineLevel="0" collapsed="false">
      <c r="A136" s="7" t="s">
        <v>55</v>
      </c>
      <c r="B136" s="8" t="s">
        <v>56</v>
      </c>
      <c r="C136" s="8" t="s">
        <v>41</v>
      </c>
      <c r="D136" s="7" t="s">
        <v>44</v>
      </c>
      <c r="E136" s="9" t="s">
        <v>14</v>
      </c>
      <c r="F136" s="9" t="n">
        <v>19</v>
      </c>
      <c r="G136" s="9" t="s">
        <v>16</v>
      </c>
    </row>
    <row r="137" customFormat="false" ht="15" hidden="false" customHeight="true" outlineLevel="0" collapsed="false">
      <c r="A137" s="4" t="s">
        <v>55</v>
      </c>
      <c r="B137" s="5" t="s">
        <v>56</v>
      </c>
      <c r="C137" s="5" t="s">
        <v>41</v>
      </c>
      <c r="D137" s="4" t="s">
        <v>44</v>
      </c>
      <c r="E137" s="6" t="s">
        <v>15</v>
      </c>
      <c r="F137" s="6" t="n">
        <v>25</v>
      </c>
      <c r="G137" s="6" t="s">
        <v>13</v>
      </c>
    </row>
    <row r="138" customFormat="false" ht="15" hidden="false" customHeight="true" outlineLevel="0" collapsed="false">
      <c r="A138" s="7" t="s">
        <v>55</v>
      </c>
      <c r="B138" s="8" t="s">
        <v>56</v>
      </c>
      <c r="C138" s="8" t="s">
        <v>41</v>
      </c>
      <c r="D138" s="7" t="s">
        <v>44</v>
      </c>
      <c r="E138" s="6" t="s">
        <v>17</v>
      </c>
      <c r="F138" s="6" t="n">
        <v>24</v>
      </c>
      <c r="G138" s="6" t="s">
        <v>13</v>
      </c>
    </row>
    <row r="139" customFormat="false" ht="15" hidden="false" customHeight="true" outlineLevel="0" collapsed="false">
      <c r="A139" s="4" t="s">
        <v>55</v>
      </c>
      <c r="B139" s="5" t="s">
        <v>56</v>
      </c>
      <c r="C139" s="5" t="s">
        <v>41</v>
      </c>
      <c r="D139" s="4" t="s">
        <v>44</v>
      </c>
      <c r="E139" s="6" t="s">
        <v>18</v>
      </c>
      <c r="F139" s="6" t="n">
        <v>22</v>
      </c>
      <c r="G139" s="6" t="s">
        <v>13</v>
      </c>
    </row>
    <row r="140" customFormat="false" ht="15" hidden="false" customHeight="true" outlineLevel="0" collapsed="false">
      <c r="A140" s="7" t="s">
        <v>55</v>
      </c>
      <c r="B140" s="8" t="s">
        <v>56</v>
      </c>
      <c r="C140" s="8" t="s">
        <v>41</v>
      </c>
      <c r="D140" s="7" t="s">
        <v>44</v>
      </c>
      <c r="E140" s="9" t="s">
        <v>19</v>
      </c>
      <c r="F140" s="9" t="n">
        <v>19</v>
      </c>
      <c r="G140" s="9" t="s">
        <v>16</v>
      </c>
    </row>
    <row r="141" customFormat="false" ht="15" hidden="false" customHeight="true" outlineLevel="0" collapsed="false">
      <c r="A141" s="4" t="s">
        <v>55</v>
      </c>
      <c r="B141" s="5" t="s">
        <v>56</v>
      </c>
      <c r="C141" s="5" t="s">
        <v>41</v>
      </c>
      <c r="D141" s="4" t="s">
        <v>44</v>
      </c>
      <c r="E141" s="6" t="s">
        <v>20</v>
      </c>
      <c r="F141" s="6" t="n">
        <v>26</v>
      </c>
      <c r="G141" s="6" t="s">
        <v>13</v>
      </c>
    </row>
    <row r="142" customFormat="false" ht="15" hidden="false" customHeight="true" outlineLevel="0" collapsed="false">
      <c r="A142" s="7" t="s">
        <v>55</v>
      </c>
      <c r="B142" s="8" t="s">
        <v>56</v>
      </c>
      <c r="C142" s="8" t="s">
        <v>41</v>
      </c>
      <c r="D142" s="7" t="s">
        <v>44</v>
      </c>
      <c r="E142" s="6" t="s">
        <v>21</v>
      </c>
      <c r="F142" s="6" t="n">
        <v>22</v>
      </c>
      <c r="G142" s="6" t="s">
        <v>13</v>
      </c>
    </row>
    <row r="143" customFormat="false" ht="15" hidden="false" customHeight="true" outlineLevel="0" collapsed="false">
      <c r="A143" s="4" t="s">
        <v>55</v>
      </c>
      <c r="B143" s="5" t="s">
        <v>56</v>
      </c>
      <c r="C143" s="5" t="s">
        <v>41</v>
      </c>
      <c r="D143" s="4" t="s">
        <v>44</v>
      </c>
      <c r="E143" s="6" t="s">
        <v>22</v>
      </c>
      <c r="F143" s="6" t="n">
        <v>23</v>
      </c>
      <c r="G143" s="6" t="s">
        <v>13</v>
      </c>
    </row>
    <row r="144" customFormat="false" ht="15" hidden="false" customHeight="true" outlineLevel="0" collapsed="false">
      <c r="A144" s="7" t="s">
        <v>55</v>
      </c>
      <c r="B144" s="8" t="s">
        <v>56</v>
      </c>
      <c r="C144" s="8" t="s">
        <v>41</v>
      </c>
      <c r="D144" s="7" t="s">
        <v>44</v>
      </c>
      <c r="E144" s="6" t="s">
        <v>23</v>
      </c>
      <c r="F144" s="6" t="n">
        <v>25</v>
      </c>
      <c r="G144" s="6" t="s">
        <v>13</v>
      </c>
    </row>
    <row r="145" customFormat="false" ht="15" hidden="false" customHeight="true" outlineLevel="0" collapsed="false">
      <c r="A145" s="4" t="s">
        <v>55</v>
      </c>
      <c r="B145" s="5" t="s">
        <v>56</v>
      </c>
      <c r="C145" s="5" t="s">
        <v>41</v>
      </c>
      <c r="D145" s="4" t="s">
        <v>44</v>
      </c>
      <c r="E145" s="6" t="s">
        <v>24</v>
      </c>
      <c r="F145" s="6" t="n">
        <v>26</v>
      </c>
      <c r="G145" s="6" t="s">
        <v>13</v>
      </c>
    </row>
    <row r="146" customFormat="false" ht="15" hidden="false" customHeight="true" outlineLevel="0" collapsed="false">
      <c r="A146" s="7" t="s">
        <v>55</v>
      </c>
      <c r="B146" s="8" t="s">
        <v>56</v>
      </c>
      <c r="C146" s="8" t="s">
        <v>41</v>
      </c>
      <c r="D146" s="7" t="s">
        <v>44</v>
      </c>
      <c r="E146" s="9" t="s">
        <v>25</v>
      </c>
      <c r="F146" s="9" t="n">
        <v>20</v>
      </c>
      <c r="G146" s="9" t="s">
        <v>16</v>
      </c>
    </row>
    <row r="147" customFormat="false" ht="15" hidden="false" customHeight="true" outlineLevel="0" collapsed="false">
      <c r="A147" s="4" t="s">
        <v>57</v>
      </c>
      <c r="B147" s="5" t="s">
        <v>58</v>
      </c>
      <c r="C147" s="5" t="s">
        <v>37</v>
      </c>
      <c r="D147" s="4" t="s">
        <v>11</v>
      </c>
      <c r="E147" s="6" t="s">
        <v>12</v>
      </c>
      <c r="F147" s="6" t="n">
        <v>22</v>
      </c>
      <c r="G147" s="6" t="s">
        <v>13</v>
      </c>
    </row>
    <row r="148" customFormat="false" ht="15" hidden="false" customHeight="true" outlineLevel="0" collapsed="false">
      <c r="A148" s="7" t="s">
        <v>57</v>
      </c>
      <c r="B148" s="8" t="s">
        <v>58</v>
      </c>
      <c r="C148" s="8" t="s">
        <v>37</v>
      </c>
      <c r="D148" s="7" t="s">
        <v>11</v>
      </c>
      <c r="E148" s="6" t="s">
        <v>14</v>
      </c>
      <c r="F148" s="6" t="n">
        <v>24</v>
      </c>
      <c r="G148" s="6" t="s">
        <v>13</v>
      </c>
    </row>
    <row r="149" customFormat="false" ht="15" hidden="false" customHeight="true" outlineLevel="0" collapsed="false">
      <c r="A149" s="4" t="s">
        <v>57</v>
      </c>
      <c r="B149" s="5" t="s">
        <v>58</v>
      </c>
      <c r="C149" s="5" t="s">
        <v>37</v>
      </c>
      <c r="D149" s="4" t="s">
        <v>11</v>
      </c>
      <c r="E149" s="6" t="s">
        <v>15</v>
      </c>
      <c r="F149" s="6" t="n">
        <v>22</v>
      </c>
      <c r="G149" s="6" t="s">
        <v>13</v>
      </c>
    </row>
    <row r="150" customFormat="false" ht="15" hidden="false" customHeight="true" outlineLevel="0" collapsed="false">
      <c r="A150" s="7" t="s">
        <v>57</v>
      </c>
      <c r="B150" s="8" t="s">
        <v>58</v>
      </c>
      <c r="C150" s="8" t="s">
        <v>37</v>
      </c>
      <c r="D150" s="7" t="s">
        <v>11</v>
      </c>
      <c r="E150" s="6" t="s">
        <v>17</v>
      </c>
      <c r="F150" s="6" t="n">
        <v>24</v>
      </c>
      <c r="G150" s="6" t="s">
        <v>13</v>
      </c>
    </row>
    <row r="151" customFormat="false" ht="15" hidden="false" customHeight="true" outlineLevel="0" collapsed="false">
      <c r="A151" s="4" t="s">
        <v>57</v>
      </c>
      <c r="B151" s="5" t="s">
        <v>58</v>
      </c>
      <c r="C151" s="5" t="s">
        <v>37</v>
      </c>
      <c r="D151" s="4" t="s">
        <v>11</v>
      </c>
      <c r="E151" s="9" t="s">
        <v>18</v>
      </c>
      <c r="F151" s="9" t="n">
        <v>20</v>
      </c>
      <c r="G151" s="9" t="s">
        <v>16</v>
      </c>
    </row>
    <row r="152" customFormat="false" ht="15" hidden="false" customHeight="true" outlineLevel="0" collapsed="false">
      <c r="A152" s="7" t="s">
        <v>57</v>
      </c>
      <c r="B152" s="8" t="s">
        <v>58</v>
      </c>
      <c r="C152" s="8" t="s">
        <v>37</v>
      </c>
      <c r="D152" s="7" t="s">
        <v>11</v>
      </c>
      <c r="E152" s="6" t="s">
        <v>19</v>
      </c>
      <c r="F152" s="6" t="n">
        <v>22</v>
      </c>
      <c r="G152" s="6" t="s">
        <v>13</v>
      </c>
    </row>
    <row r="153" customFormat="false" ht="15" hidden="false" customHeight="true" outlineLevel="0" collapsed="false">
      <c r="A153" s="4" t="s">
        <v>57</v>
      </c>
      <c r="B153" s="5" t="s">
        <v>58</v>
      </c>
      <c r="C153" s="5" t="s">
        <v>37</v>
      </c>
      <c r="D153" s="4" t="s">
        <v>11</v>
      </c>
      <c r="E153" s="6" t="s">
        <v>20</v>
      </c>
      <c r="F153" s="6" t="n">
        <v>24</v>
      </c>
      <c r="G153" s="6" t="s">
        <v>13</v>
      </c>
    </row>
    <row r="154" customFormat="false" ht="15" hidden="false" customHeight="true" outlineLevel="0" collapsed="false">
      <c r="A154" s="7" t="s">
        <v>57</v>
      </c>
      <c r="B154" s="8" t="s">
        <v>58</v>
      </c>
      <c r="C154" s="8" t="s">
        <v>37</v>
      </c>
      <c r="D154" s="7" t="s">
        <v>11</v>
      </c>
      <c r="E154" s="6" t="s">
        <v>21</v>
      </c>
      <c r="F154" s="6" t="n">
        <v>25</v>
      </c>
      <c r="G154" s="6" t="s">
        <v>13</v>
      </c>
    </row>
    <row r="155" customFormat="false" ht="15" hidden="false" customHeight="true" outlineLevel="0" collapsed="false">
      <c r="A155" s="4" t="s">
        <v>57</v>
      </c>
      <c r="B155" s="5" t="s">
        <v>58</v>
      </c>
      <c r="C155" s="5" t="s">
        <v>37</v>
      </c>
      <c r="D155" s="4" t="s">
        <v>11</v>
      </c>
      <c r="E155" s="9" t="s">
        <v>22</v>
      </c>
      <c r="F155" s="9" t="n">
        <v>21</v>
      </c>
      <c r="G155" s="9" t="s">
        <v>16</v>
      </c>
    </row>
    <row r="156" customFormat="false" ht="15" hidden="false" customHeight="true" outlineLevel="0" collapsed="false">
      <c r="A156" s="7" t="s">
        <v>57</v>
      </c>
      <c r="B156" s="8" t="s">
        <v>58</v>
      </c>
      <c r="C156" s="8" t="s">
        <v>37</v>
      </c>
      <c r="D156" s="7" t="s">
        <v>11</v>
      </c>
      <c r="E156" s="6" t="s">
        <v>23</v>
      </c>
      <c r="F156" s="6" t="n">
        <v>24</v>
      </c>
      <c r="G156" s="6" t="s">
        <v>13</v>
      </c>
    </row>
    <row r="157" customFormat="false" ht="15" hidden="false" customHeight="true" outlineLevel="0" collapsed="false">
      <c r="A157" s="4" t="s">
        <v>57</v>
      </c>
      <c r="B157" s="5" t="s">
        <v>58</v>
      </c>
      <c r="C157" s="5" t="s">
        <v>37</v>
      </c>
      <c r="D157" s="4" t="s">
        <v>11</v>
      </c>
      <c r="E157" s="6" t="s">
        <v>24</v>
      </c>
      <c r="F157" s="6" t="n">
        <v>23</v>
      </c>
      <c r="G157" s="6" t="s">
        <v>13</v>
      </c>
    </row>
    <row r="158" customFormat="false" ht="15" hidden="false" customHeight="true" outlineLevel="0" collapsed="false">
      <c r="A158" s="7" t="s">
        <v>57</v>
      </c>
      <c r="B158" s="8" t="s">
        <v>58</v>
      </c>
      <c r="C158" s="8" t="s">
        <v>37</v>
      </c>
      <c r="D158" s="7" t="s">
        <v>11</v>
      </c>
      <c r="E158" s="9" t="s">
        <v>25</v>
      </c>
      <c r="F158" s="9" t="n">
        <v>21</v>
      </c>
      <c r="G158" s="9" t="s">
        <v>16</v>
      </c>
    </row>
    <row r="159" customFormat="false" ht="15" hidden="false" customHeight="true" outlineLevel="0" collapsed="false">
      <c r="A159" s="4" t="s">
        <v>59</v>
      </c>
      <c r="B159" s="5" t="s">
        <v>60</v>
      </c>
      <c r="C159" s="5" t="s">
        <v>28</v>
      </c>
      <c r="D159" s="4" t="s">
        <v>38</v>
      </c>
      <c r="E159" s="6" t="s">
        <v>12</v>
      </c>
      <c r="F159" s="6" t="n">
        <v>23</v>
      </c>
      <c r="G159" s="6" t="s">
        <v>13</v>
      </c>
    </row>
    <row r="160" customFormat="false" ht="15" hidden="false" customHeight="true" outlineLevel="0" collapsed="false">
      <c r="A160" s="7" t="s">
        <v>59</v>
      </c>
      <c r="B160" s="8" t="s">
        <v>60</v>
      </c>
      <c r="C160" s="8" t="s">
        <v>28</v>
      </c>
      <c r="D160" s="7" t="s">
        <v>38</v>
      </c>
      <c r="E160" s="9" t="s">
        <v>14</v>
      </c>
      <c r="F160" s="9" t="n">
        <v>18</v>
      </c>
      <c r="G160" s="9" t="s">
        <v>16</v>
      </c>
    </row>
    <row r="161" customFormat="false" ht="15" hidden="false" customHeight="true" outlineLevel="0" collapsed="false">
      <c r="A161" s="4" t="s">
        <v>59</v>
      </c>
      <c r="B161" s="5" t="s">
        <v>60</v>
      </c>
      <c r="C161" s="5" t="s">
        <v>28</v>
      </c>
      <c r="D161" s="4" t="s">
        <v>38</v>
      </c>
      <c r="E161" s="6" t="s">
        <v>15</v>
      </c>
      <c r="F161" s="6" t="n">
        <v>23</v>
      </c>
      <c r="G161" s="6" t="s">
        <v>13</v>
      </c>
    </row>
    <row r="162" customFormat="false" ht="15" hidden="false" customHeight="true" outlineLevel="0" collapsed="false">
      <c r="A162" s="7" t="s">
        <v>59</v>
      </c>
      <c r="B162" s="8" t="s">
        <v>60</v>
      </c>
      <c r="C162" s="8" t="s">
        <v>28</v>
      </c>
      <c r="D162" s="7" t="s">
        <v>38</v>
      </c>
      <c r="E162" s="6" t="s">
        <v>17</v>
      </c>
      <c r="F162" s="6" t="n">
        <v>22</v>
      </c>
      <c r="G162" s="6" t="s">
        <v>13</v>
      </c>
    </row>
    <row r="163" customFormat="false" ht="15" hidden="false" customHeight="true" outlineLevel="0" collapsed="false">
      <c r="A163" s="4" t="s">
        <v>59</v>
      </c>
      <c r="B163" s="5" t="s">
        <v>60</v>
      </c>
      <c r="C163" s="5" t="s">
        <v>28</v>
      </c>
      <c r="D163" s="4" t="s">
        <v>38</v>
      </c>
      <c r="E163" s="9" t="s">
        <v>18</v>
      </c>
      <c r="F163" s="9" t="n">
        <v>21</v>
      </c>
      <c r="G163" s="9" t="s">
        <v>16</v>
      </c>
    </row>
    <row r="164" customFormat="false" ht="15" hidden="false" customHeight="true" outlineLevel="0" collapsed="false">
      <c r="A164" s="7" t="s">
        <v>59</v>
      </c>
      <c r="B164" s="8" t="s">
        <v>60</v>
      </c>
      <c r="C164" s="8" t="s">
        <v>28</v>
      </c>
      <c r="D164" s="7" t="s">
        <v>38</v>
      </c>
      <c r="E164" s="9" t="s">
        <v>19</v>
      </c>
      <c r="F164" s="9" t="n">
        <v>20</v>
      </c>
      <c r="G164" s="9" t="s">
        <v>16</v>
      </c>
    </row>
    <row r="165" customFormat="false" ht="15" hidden="false" customHeight="true" outlineLevel="0" collapsed="false">
      <c r="A165" s="4" t="s">
        <v>59</v>
      </c>
      <c r="B165" s="5" t="s">
        <v>60</v>
      </c>
      <c r="C165" s="5" t="s">
        <v>28</v>
      </c>
      <c r="D165" s="4" t="s">
        <v>38</v>
      </c>
      <c r="E165" s="6" t="s">
        <v>20</v>
      </c>
      <c r="F165" s="6" t="n">
        <v>22</v>
      </c>
      <c r="G165" s="6" t="s">
        <v>13</v>
      </c>
    </row>
    <row r="166" customFormat="false" ht="15" hidden="false" customHeight="true" outlineLevel="0" collapsed="false">
      <c r="A166" s="7" t="s">
        <v>59</v>
      </c>
      <c r="B166" s="8" t="s">
        <v>60</v>
      </c>
      <c r="C166" s="8" t="s">
        <v>28</v>
      </c>
      <c r="D166" s="7" t="s">
        <v>38</v>
      </c>
      <c r="E166" s="6" t="s">
        <v>21</v>
      </c>
      <c r="F166" s="6" t="n">
        <v>24</v>
      </c>
      <c r="G166" s="6" t="s">
        <v>13</v>
      </c>
    </row>
    <row r="167" customFormat="false" ht="15" hidden="false" customHeight="true" outlineLevel="0" collapsed="false">
      <c r="A167" s="4" t="s">
        <v>59</v>
      </c>
      <c r="B167" s="5" t="s">
        <v>60</v>
      </c>
      <c r="C167" s="5" t="s">
        <v>28</v>
      </c>
      <c r="D167" s="4" t="s">
        <v>38</v>
      </c>
      <c r="E167" s="9" t="s">
        <v>22</v>
      </c>
      <c r="F167" s="9" t="n">
        <v>21</v>
      </c>
      <c r="G167" s="9" t="s">
        <v>16</v>
      </c>
    </row>
    <row r="168" customFormat="false" ht="15" hidden="false" customHeight="true" outlineLevel="0" collapsed="false">
      <c r="A168" s="7" t="s">
        <v>59</v>
      </c>
      <c r="B168" s="8" t="s">
        <v>60</v>
      </c>
      <c r="C168" s="8" t="s">
        <v>28</v>
      </c>
      <c r="D168" s="7" t="s">
        <v>38</v>
      </c>
      <c r="E168" s="6" t="s">
        <v>23</v>
      </c>
      <c r="F168" s="6" t="n">
        <v>24</v>
      </c>
      <c r="G168" s="6" t="s">
        <v>13</v>
      </c>
    </row>
    <row r="169" customFormat="false" ht="15" hidden="false" customHeight="true" outlineLevel="0" collapsed="false">
      <c r="A169" s="4" t="s">
        <v>59</v>
      </c>
      <c r="B169" s="5" t="s">
        <v>60</v>
      </c>
      <c r="C169" s="5" t="s">
        <v>28</v>
      </c>
      <c r="D169" s="4" t="s">
        <v>38</v>
      </c>
      <c r="E169" s="6" t="s">
        <v>24</v>
      </c>
      <c r="F169" s="6" t="n">
        <v>23</v>
      </c>
      <c r="G169" s="6" t="s">
        <v>13</v>
      </c>
    </row>
    <row r="170" customFormat="false" ht="15" hidden="false" customHeight="true" outlineLevel="0" collapsed="false">
      <c r="A170" s="7" t="s">
        <v>59</v>
      </c>
      <c r="B170" s="8" t="s">
        <v>60</v>
      </c>
      <c r="C170" s="8" t="s">
        <v>28</v>
      </c>
      <c r="D170" s="7" t="s">
        <v>38</v>
      </c>
      <c r="E170" s="6" t="s">
        <v>25</v>
      </c>
      <c r="F170" s="6" t="n">
        <v>24</v>
      </c>
      <c r="G170" s="6" t="s">
        <v>13</v>
      </c>
    </row>
    <row r="171" customFormat="false" ht="15" hidden="false" customHeight="true" outlineLevel="0" collapsed="false">
      <c r="A171" s="4" t="s">
        <v>61</v>
      </c>
      <c r="B171" s="5" t="s">
        <v>62</v>
      </c>
      <c r="C171" s="5" t="s">
        <v>31</v>
      </c>
      <c r="D171" s="4" t="s">
        <v>44</v>
      </c>
      <c r="E171" s="9" t="s">
        <v>12</v>
      </c>
      <c r="F171" s="9" t="n">
        <v>18</v>
      </c>
      <c r="G171" s="9" t="s">
        <v>16</v>
      </c>
    </row>
    <row r="172" customFormat="false" ht="15" hidden="false" customHeight="true" outlineLevel="0" collapsed="false">
      <c r="A172" s="7" t="s">
        <v>61</v>
      </c>
      <c r="B172" s="8" t="s">
        <v>62</v>
      </c>
      <c r="C172" s="8" t="s">
        <v>31</v>
      </c>
      <c r="D172" s="7" t="s">
        <v>44</v>
      </c>
      <c r="E172" s="9" t="s">
        <v>14</v>
      </c>
      <c r="F172" s="9" t="n">
        <v>19</v>
      </c>
      <c r="G172" s="9" t="s">
        <v>16</v>
      </c>
    </row>
    <row r="173" customFormat="false" ht="15" hidden="false" customHeight="true" outlineLevel="0" collapsed="false">
      <c r="A173" s="4" t="s">
        <v>61</v>
      </c>
      <c r="B173" s="5" t="s">
        <v>62</v>
      </c>
      <c r="C173" s="5" t="s">
        <v>31</v>
      </c>
      <c r="D173" s="4" t="s">
        <v>44</v>
      </c>
      <c r="E173" s="6" t="s">
        <v>15</v>
      </c>
      <c r="F173" s="6" t="n">
        <v>26</v>
      </c>
      <c r="G173" s="6" t="s">
        <v>13</v>
      </c>
    </row>
    <row r="174" customFormat="false" ht="15" hidden="false" customHeight="true" outlineLevel="0" collapsed="false">
      <c r="A174" s="7" t="s">
        <v>61</v>
      </c>
      <c r="B174" s="8" t="s">
        <v>62</v>
      </c>
      <c r="C174" s="8" t="s">
        <v>31</v>
      </c>
      <c r="D174" s="7" t="s">
        <v>44</v>
      </c>
      <c r="E174" s="6" t="s">
        <v>17</v>
      </c>
      <c r="F174" s="6" t="n">
        <v>26</v>
      </c>
      <c r="G174" s="6" t="s">
        <v>13</v>
      </c>
    </row>
    <row r="175" customFormat="false" ht="15" hidden="false" customHeight="true" outlineLevel="0" collapsed="false">
      <c r="A175" s="4" t="s">
        <v>61</v>
      </c>
      <c r="B175" s="5" t="s">
        <v>62</v>
      </c>
      <c r="C175" s="5" t="s">
        <v>31</v>
      </c>
      <c r="D175" s="4" t="s">
        <v>44</v>
      </c>
      <c r="E175" s="9" t="s">
        <v>18</v>
      </c>
      <c r="F175" s="9" t="n">
        <v>21</v>
      </c>
      <c r="G175" s="9" t="s">
        <v>16</v>
      </c>
    </row>
    <row r="176" customFormat="false" ht="15" hidden="false" customHeight="true" outlineLevel="0" collapsed="false">
      <c r="A176" s="7" t="s">
        <v>61</v>
      </c>
      <c r="B176" s="8" t="s">
        <v>62</v>
      </c>
      <c r="C176" s="8" t="s">
        <v>31</v>
      </c>
      <c r="D176" s="7" t="s">
        <v>44</v>
      </c>
      <c r="E176" s="9" t="s">
        <v>19</v>
      </c>
      <c r="F176" s="9" t="n">
        <v>18</v>
      </c>
      <c r="G176" s="9" t="s">
        <v>16</v>
      </c>
    </row>
    <row r="177" customFormat="false" ht="15" hidden="false" customHeight="true" outlineLevel="0" collapsed="false">
      <c r="A177" s="4" t="s">
        <v>61</v>
      </c>
      <c r="B177" s="5" t="s">
        <v>62</v>
      </c>
      <c r="C177" s="5" t="s">
        <v>31</v>
      </c>
      <c r="D177" s="4" t="s">
        <v>44</v>
      </c>
      <c r="E177" s="6" t="s">
        <v>20</v>
      </c>
      <c r="F177" s="6" t="n">
        <v>26</v>
      </c>
      <c r="G177" s="6" t="s">
        <v>13</v>
      </c>
    </row>
    <row r="178" customFormat="false" ht="15" hidden="false" customHeight="true" outlineLevel="0" collapsed="false">
      <c r="A178" s="7" t="s">
        <v>61</v>
      </c>
      <c r="B178" s="8" t="s">
        <v>62</v>
      </c>
      <c r="C178" s="8" t="s">
        <v>31</v>
      </c>
      <c r="D178" s="7" t="s">
        <v>44</v>
      </c>
      <c r="E178" s="6" t="s">
        <v>21</v>
      </c>
      <c r="F178" s="6" t="n">
        <v>22</v>
      </c>
      <c r="G178" s="6" t="s">
        <v>13</v>
      </c>
    </row>
    <row r="179" customFormat="false" ht="15" hidden="false" customHeight="true" outlineLevel="0" collapsed="false">
      <c r="A179" s="4" t="s">
        <v>61</v>
      </c>
      <c r="B179" s="5" t="s">
        <v>62</v>
      </c>
      <c r="C179" s="5" t="s">
        <v>31</v>
      </c>
      <c r="D179" s="4" t="s">
        <v>44</v>
      </c>
      <c r="E179" s="9" t="s">
        <v>22</v>
      </c>
      <c r="F179" s="9" t="n">
        <v>20</v>
      </c>
      <c r="G179" s="9" t="s">
        <v>16</v>
      </c>
    </row>
    <row r="180" customFormat="false" ht="15" hidden="false" customHeight="true" outlineLevel="0" collapsed="false">
      <c r="A180" s="7" t="s">
        <v>61</v>
      </c>
      <c r="B180" s="8" t="s">
        <v>62</v>
      </c>
      <c r="C180" s="8" t="s">
        <v>31</v>
      </c>
      <c r="D180" s="7" t="s">
        <v>44</v>
      </c>
      <c r="E180" s="6" t="s">
        <v>23</v>
      </c>
      <c r="F180" s="6" t="n">
        <v>26</v>
      </c>
      <c r="G180" s="6" t="s">
        <v>13</v>
      </c>
    </row>
    <row r="181" customFormat="false" ht="15" hidden="false" customHeight="true" outlineLevel="0" collapsed="false">
      <c r="A181" s="4" t="s">
        <v>61</v>
      </c>
      <c r="B181" s="5" t="s">
        <v>62</v>
      </c>
      <c r="C181" s="5" t="s">
        <v>31</v>
      </c>
      <c r="D181" s="4" t="s">
        <v>44</v>
      </c>
      <c r="E181" s="6" t="s">
        <v>24</v>
      </c>
      <c r="F181" s="6" t="n">
        <v>25</v>
      </c>
      <c r="G181" s="6" t="s">
        <v>13</v>
      </c>
    </row>
    <row r="182" customFormat="false" ht="15" hidden="false" customHeight="true" outlineLevel="0" collapsed="false">
      <c r="A182" s="7" t="s">
        <v>61</v>
      </c>
      <c r="B182" s="8" t="s">
        <v>62</v>
      </c>
      <c r="C182" s="8" t="s">
        <v>31</v>
      </c>
      <c r="D182" s="7" t="s">
        <v>44</v>
      </c>
      <c r="E182" s="9" t="s">
        <v>25</v>
      </c>
      <c r="F182" s="9" t="n">
        <v>21</v>
      </c>
      <c r="G182" s="9" t="s">
        <v>16</v>
      </c>
    </row>
    <row r="183" customFormat="false" ht="15" hidden="false" customHeight="true" outlineLevel="0" collapsed="false">
      <c r="A183" s="4" t="s">
        <v>63</v>
      </c>
      <c r="B183" s="5" t="s">
        <v>64</v>
      </c>
      <c r="C183" s="5" t="s">
        <v>65</v>
      </c>
      <c r="D183" s="4" t="s">
        <v>11</v>
      </c>
      <c r="E183" s="6" t="s">
        <v>12</v>
      </c>
      <c r="F183" s="6" t="n">
        <v>22</v>
      </c>
      <c r="G183" s="6" t="s">
        <v>13</v>
      </c>
    </row>
    <row r="184" customFormat="false" ht="15" hidden="false" customHeight="true" outlineLevel="0" collapsed="false">
      <c r="A184" s="7" t="s">
        <v>63</v>
      </c>
      <c r="B184" s="8" t="s">
        <v>64</v>
      </c>
      <c r="C184" s="8" t="s">
        <v>65</v>
      </c>
      <c r="D184" s="7" t="s">
        <v>11</v>
      </c>
      <c r="E184" s="6" t="s">
        <v>14</v>
      </c>
      <c r="F184" s="6" t="n">
        <v>24</v>
      </c>
      <c r="G184" s="6" t="s">
        <v>13</v>
      </c>
    </row>
    <row r="185" customFormat="false" ht="15" hidden="false" customHeight="true" outlineLevel="0" collapsed="false">
      <c r="A185" s="4" t="s">
        <v>63</v>
      </c>
      <c r="B185" s="5" t="s">
        <v>64</v>
      </c>
      <c r="C185" s="5" t="s">
        <v>65</v>
      </c>
      <c r="D185" s="4" t="s">
        <v>11</v>
      </c>
      <c r="E185" s="6" t="s">
        <v>15</v>
      </c>
      <c r="F185" s="6" t="n">
        <v>25</v>
      </c>
      <c r="G185" s="6" t="s">
        <v>13</v>
      </c>
    </row>
    <row r="186" customFormat="false" ht="15" hidden="false" customHeight="true" outlineLevel="0" collapsed="false">
      <c r="A186" s="7" t="s">
        <v>63</v>
      </c>
      <c r="B186" s="8" t="s">
        <v>64</v>
      </c>
      <c r="C186" s="8" t="s">
        <v>65</v>
      </c>
      <c r="D186" s="7" t="s">
        <v>11</v>
      </c>
      <c r="E186" s="6" t="s">
        <v>17</v>
      </c>
      <c r="F186" s="6" t="n">
        <v>26</v>
      </c>
      <c r="G186" s="6" t="s">
        <v>13</v>
      </c>
    </row>
    <row r="187" customFormat="false" ht="15" hidden="false" customHeight="true" outlineLevel="0" collapsed="false">
      <c r="A187" s="4" t="s">
        <v>63</v>
      </c>
      <c r="B187" s="5" t="s">
        <v>64</v>
      </c>
      <c r="C187" s="5" t="s">
        <v>65</v>
      </c>
      <c r="D187" s="4" t="s">
        <v>11</v>
      </c>
      <c r="E187" s="6" t="s">
        <v>18</v>
      </c>
      <c r="F187" s="6" t="n">
        <v>26</v>
      </c>
      <c r="G187" s="6" t="s">
        <v>13</v>
      </c>
    </row>
    <row r="188" customFormat="false" ht="15" hidden="false" customHeight="true" outlineLevel="0" collapsed="false">
      <c r="A188" s="7" t="s">
        <v>63</v>
      </c>
      <c r="B188" s="8" t="s">
        <v>64</v>
      </c>
      <c r="C188" s="8" t="s">
        <v>65</v>
      </c>
      <c r="D188" s="7" t="s">
        <v>11</v>
      </c>
      <c r="E188" s="6" t="s">
        <v>19</v>
      </c>
      <c r="F188" s="6" t="n">
        <v>22</v>
      </c>
      <c r="G188" s="6" t="s">
        <v>13</v>
      </c>
    </row>
    <row r="189" customFormat="false" ht="15" hidden="false" customHeight="true" outlineLevel="0" collapsed="false">
      <c r="A189" s="4" t="s">
        <v>63</v>
      </c>
      <c r="B189" s="5" t="s">
        <v>64</v>
      </c>
      <c r="C189" s="5" t="s">
        <v>65</v>
      </c>
      <c r="D189" s="4" t="s">
        <v>11</v>
      </c>
      <c r="E189" s="9" t="s">
        <v>20</v>
      </c>
      <c r="F189" s="9" t="n">
        <v>21</v>
      </c>
      <c r="G189" s="9" t="s">
        <v>16</v>
      </c>
    </row>
    <row r="190" customFormat="false" ht="15" hidden="false" customHeight="true" outlineLevel="0" collapsed="false">
      <c r="A190" s="7" t="s">
        <v>63</v>
      </c>
      <c r="B190" s="8" t="s">
        <v>64</v>
      </c>
      <c r="C190" s="8" t="s">
        <v>65</v>
      </c>
      <c r="D190" s="7" t="s">
        <v>11</v>
      </c>
      <c r="E190" s="9" t="s">
        <v>21</v>
      </c>
      <c r="F190" s="9" t="n">
        <v>18</v>
      </c>
      <c r="G190" s="9" t="s">
        <v>16</v>
      </c>
    </row>
    <row r="191" customFormat="false" ht="15" hidden="false" customHeight="true" outlineLevel="0" collapsed="false">
      <c r="A191" s="4" t="s">
        <v>63</v>
      </c>
      <c r="B191" s="5" t="s">
        <v>64</v>
      </c>
      <c r="C191" s="5" t="s">
        <v>65</v>
      </c>
      <c r="D191" s="4" t="s">
        <v>11</v>
      </c>
      <c r="E191" s="9" t="s">
        <v>22</v>
      </c>
      <c r="F191" s="9" t="n">
        <v>19</v>
      </c>
      <c r="G191" s="9" t="s">
        <v>16</v>
      </c>
    </row>
    <row r="192" customFormat="false" ht="15" hidden="false" customHeight="true" outlineLevel="0" collapsed="false">
      <c r="A192" s="7" t="s">
        <v>63</v>
      </c>
      <c r="B192" s="8" t="s">
        <v>64</v>
      </c>
      <c r="C192" s="8" t="s">
        <v>65</v>
      </c>
      <c r="D192" s="7" t="s">
        <v>11</v>
      </c>
      <c r="E192" s="6" t="s">
        <v>23</v>
      </c>
      <c r="F192" s="6" t="n">
        <v>22</v>
      </c>
      <c r="G192" s="6" t="s">
        <v>13</v>
      </c>
    </row>
    <row r="193" customFormat="false" ht="15" hidden="false" customHeight="true" outlineLevel="0" collapsed="false">
      <c r="A193" s="4" t="s">
        <v>63</v>
      </c>
      <c r="B193" s="5" t="s">
        <v>64</v>
      </c>
      <c r="C193" s="5" t="s">
        <v>65</v>
      </c>
      <c r="D193" s="4" t="s">
        <v>11</v>
      </c>
      <c r="E193" s="9" t="s">
        <v>24</v>
      </c>
      <c r="F193" s="9" t="n">
        <v>19</v>
      </c>
      <c r="G193" s="9" t="s">
        <v>16</v>
      </c>
    </row>
    <row r="194" customFormat="false" ht="15" hidden="false" customHeight="true" outlineLevel="0" collapsed="false">
      <c r="A194" s="7" t="s">
        <v>63</v>
      </c>
      <c r="B194" s="8" t="s">
        <v>64</v>
      </c>
      <c r="C194" s="8" t="s">
        <v>65</v>
      </c>
      <c r="D194" s="7" t="s">
        <v>11</v>
      </c>
      <c r="E194" s="9" t="s">
        <v>25</v>
      </c>
      <c r="F194" s="9" t="n">
        <v>18</v>
      </c>
      <c r="G194" s="9" t="s">
        <v>16</v>
      </c>
    </row>
    <row r="195" customFormat="false" ht="15" hidden="false" customHeight="true" outlineLevel="0" collapsed="false">
      <c r="A195" s="4" t="s">
        <v>66</v>
      </c>
      <c r="B195" s="5" t="s">
        <v>67</v>
      </c>
      <c r="C195" s="5" t="s">
        <v>68</v>
      </c>
      <c r="D195" s="4" t="s">
        <v>32</v>
      </c>
      <c r="E195" s="9" t="s">
        <v>12</v>
      </c>
      <c r="F195" s="9" t="n">
        <v>18</v>
      </c>
      <c r="G195" s="9" t="s">
        <v>16</v>
      </c>
    </row>
    <row r="196" customFormat="false" ht="15" hidden="false" customHeight="true" outlineLevel="0" collapsed="false">
      <c r="A196" s="7" t="s">
        <v>66</v>
      </c>
      <c r="B196" s="8" t="s">
        <v>67</v>
      </c>
      <c r="C196" s="8" t="s">
        <v>68</v>
      </c>
      <c r="D196" s="7" t="s">
        <v>32</v>
      </c>
      <c r="E196" s="6" t="s">
        <v>14</v>
      </c>
      <c r="F196" s="6" t="n">
        <v>24</v>
      </c>
      <c r="G196" s="6" t="s">
        <v>13</v>
      </c>
    </row>
    <row r="197" customFormat="false" ht="15" hidden="false" customHeight="true" outlineLevel="0" collapsed="false">
      <c r="A197" s="4" t="s">
        <v>66</v>
      </c>
      <c r="B197" s="5" t="s">
        <v>67</v>
      </c>
      <c r="C197" s="5" t="s">
        <v>68</v>
      </c>
      <c r="D197" s="4" t="s">
        <v>32</v>
      </c>
      <c r="E197" s="6" t="s">
        <v>15</v>
      </c>
      <c r="F197" s="6" t="n">
        <v>22</v>
      </c>
      <c r="G197" s="6" t="s">
        <v>13</v>
      </c>
    </row>
    <row r="198" customFormat="false" ht="15" hidden="false" customHeight="true" outlineLevel="0" collapsed="false">
      <c r="A198" s="7" t="s">
        <v>66</v>
      </c>
      <c r="B198" s="8" t="s">
        <v>67</v>
      </c>
      <c r="C198" s="8" t="s">
        <v>68</v>
      </c>
      <c r="D198" s="7" t="s">
        <v>32</v>
      </c>
      <c r="E198" s="6" t="s">
        <v>17</v>
      </c>
      <c r="F198" s="6" t="n">
        <v>23</v>
      </c>
      <c r="G198" s="6" t="s">
        <v>13</v>
      </c>
    </row>
    <row r="199" customFormat="false" ht="15" hidden="false" customHeight="true" outlineLevel="0" collapsed="false">
      <c r="A199" s="4" t="s">
        <v>66</v>
      </c>
      <c r="B199" s="5" t="s">
        <v>67</v>
      </c>
      <c r="C199" s="5" t="s">
        <v>68</v>
      </c>
      <c r="D199" s="4" t="s">
        <v>32</v>
      </c>
      <c r="E199" s="6" t="s">
        <v>18</v>
      </c>
      <c r="F199" s="6" t="n">
        <v>26</v>
      </c>
      <c r="G199" s="6" t="s">
        <v>13</v>
      </c>
    </row>
    <row r="200" customFormat="false" ht="15" hidden="false" customHeight="true" outlineLevel="0" collapsed="false">
      <c r="A200" s="7" t="s">
        <v>66</v>
      </c>
      <c r="B200" s="8" t="s">
        <v>67</v>
      </c>
      <c r="C200" s="8" t="s">
        <v>68</v>
      </c>
      <c r="D200" s="7" t="s">
        <v>32</v>
      </c>
      <c r="E200" s="6" t="s">
        <v>19</v>
      </c>
      <c r="F200" s="6" t="n">
        <v>22</v>
      </c>
      <c r="G200" s="6" t="s">
        <v>13</v>
      </c>
    </row>
    <row r="201" customFormat="false" ht="15" hidden="false" customHeight="true" outlineLevel="0" collapsed="false">
      <c r="A201" s="4" t="s">
        <v>66</v>
      </c>
      <c r="B201" s="5" t="s">
        <v>67</v>
      </c>
      <c r="C201" s="5" t="s">
        <v>68</v>
      </c>
      <c r="D201" s="4" t="s">
        <v>32</v>
      </c>
      <c r="E201" s="9" t="s">
        <v>20</v>
      </c>
      <c r="F201" s="9" t="n">
        <v>21</v>
      </c>
      <c r="G201" s="9" t="s">
        <v>16</v>
      </c>
    </row>
    <row r="202" customFormat="false" ht="15" hidden="false" customHeight="true" outlineLevel="0" collapsed="false">
      <c r="A202" s="7" t="s">
        <v>66</v>
      </c>
      <c r="B202" s="8" t="s">
        <v>67</v>
      </c>
      <c r="C202" s="8" t="s">
        <v>68</v>
      </c>
      <c r="D202" s="7" t="s">
        <v>32</v>
      </c>
      <c r="E202" s="9" t="s">
        <v>21</v>
      </c>
      <c r="F202" s="9" t="n">
        <v>19</v>
      </c>
      <c r="G202" s="9" t="s">
        <v>16</v>
      </c>
    </row>
    <row r="203" customFormat="false" ht="15" hidden="false" customHeight="true" outlineLevel="0" collapsed="false">
      <c r="A203" s="4" t="s">
        <v>66</v>
      </c>
      <c r="B203" s="5" t="s">
        <v>67</v>
      </c>
      <c r="C203" s="5" t="s">
        <v>68</v>
      </c>
      <c r="D203" s="4" t="s">
        <v>32</v>
      </c>
      <c r="E203" s="6" t="s">
        <v>22</v>
      </c>
      <c r="F203" s="6" t="n">
        <v>24</v>
      </c>
      <c r="G203" s="6" t="s">
        <v>13</v>
      </c>
    </row>
    <row r="204" customFormat="false" ht="15" hidden="false" customHeight="true" outlineLevel="0" collapsed="false">
      <c r="A204" s="7" t="s">
        <v>66</v>
      </c>
      <c r="B204" s="8" t="s">
        <v>67</v>
      </c>
      <c r="C204" s="8" t="s">
        <v>68</v>
      </c>
      <c r="D204" s="7" t="s">
        <v>32</v>
      </c>
      <c r="E204" s="6" t="s">
        <v>23</v>
      </c>
      <c r="F204" s="6" t="n">
        <v>24</v>
      </c>
      <c r="G204" s="6" t="s">
        <v>13</v>
      </c>
    </row>
    <row r="205" customFormat="false" ht="15" hidden="false" customHeight="true" outlineLevel="0" collapsed="false">
      <c r="A205" s="4" t="s">
        <v>66</v>
      </c>
      <c r="B205" s="5" t="s">
        <v>67</v>
      </c>
      <c r="C205" s="5" t="s">
        <v>68</v>
      </c>
      <c r="D205" s="4" t="s">
        <v>32</v>
      </c>
      <c r="E205" s="9" t="s">
        <v>24</v>
      </c>
      <c r="F205" s="9" t="n">
        <v>20</v>
      </c>
      <c r="G205" s="9" t="s">
        <v>16</v>
      </c>
    </row>
    <row r="206" customFormat="false" ht="15" hidden="false" customHeight="true" outlineLevel="0" collapsed="false">
      <c r="A206" s="7" t="s">
        <v>66</v>
      </c>
      <c r="B206" s="8" t="s">
        <v>67</v>
      </c>
      <c r="C206" s="8" t="s">
        <v>68</v>
      </c>
      <c r="D206" s="7" t="s">
        <v>32</v>
      </c>
      <c r="E206" s="6" t="s">
        <v>25</v>
      </c>
      <c r="F206" s="6" t="n">
        <v>22</v>
      </c>
      <c r="G206" s="6" t="s">
        <v>13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8"/>
    <col collapsed="false" customWidth="true" hidden="false" outlineLevel="0" max="4" min="4" style="1" width="16"/>
    <col collapsed="false" customWidth="true" hidden="false" outlineLevel="0" max="8" min="6" style="1" width="16"/>
  </cols>
  <sheetData>
    <row r="1" customFormat="false" ht="27.75" hidden="false" customHeight="true" outlineLevel="0" collapsed="false">
      <c r="A1" s="10" t="s">
        <v>69</v>
      </c>
      <c r="B1" s="10"/>
      <c r="C1" s="10"/>
      <c r="D1" s="10"/>
      <c r="F1" s="10" t="s">
        <v>70</v>
      </c>
      <c r="G1" s="10"/>
      <c r="H1" s="10"/>
    </row>
    <row r="2" customFormat="false" ht="26.25" hidden="false" customHeight="true" outlineLevel="0" collapsed="false">
      <c r="A2" s="3" t="s">
        <v>71</v>
      </c>
      <c r="B2" s="3" t="s">
        <v>72</v>
      </c>
      <c r="C2" s="3" t="s">
        <v>73</v>
      </c>
      <c r="D2" s="3" t="s">
        <v>74</v>
      </c>
      <c r="F2" s="3" t="s">
        <v>7</v>
      </c>
      <c r="G2" s="3" t="s">
        <v>75</v>
      </c>
      <c r="H2" s="3" t="s">
        <v>76</v>
      </c>
    </row>
    <row r="3" customFormat="false" ht="15" hidden="false" customHeight="true" outlineLevel="0" collapsed="false">
      <c r="A3" s="5" t="s">
        <v>9</v>
      </c>
      <c r="B3" s="4" t="n">
        <f aca="false">SUMIF('Attendance Data'!B:B,A3,'Attendance Data'!F:F)</f>
        <v>268</v>
      </c>
      <c r="C3" s="4" t="n">
        <f aca="false">COUNTIFS('Attendance Data'!B:B,A3,'Attendance Data'!F:F,"&gt;"&amp;22)</f>
        <v>5</v>
      </c>
      <c r="D3" s="4" t="n">
        <f aca="false">COUNTIFS('Attendance Data'!B:B,A3,'Attendance Data'!G:G,"Good")</f>
        <v>6</v>
      </c>
      <c r="F3" s="11" t="s">
        <v>13</v>
      </c>
      <c r="G3" s="6" t="n">
        <f aca="false">COUNTIF('Attendance Data'!G:G,F3)</f>
        <v>115</v>
      </c>
      <c r="H3" s="12" t="n">
        <f aca="false">IFERROR(G3/SUM($G$3:$G$5),0)</f>
        <v>0.563725490196078</v>
      </c>
    </row>
    <row r="4" customFormat="false" ht="15" hidden="false" customHeight="true" outlineLevel="0" collapsed="false">
      <c r="A4" s="8" t="s">
        <v>27</v>
      </c>
      <c r="B4" s="7" t="n">
        <f aca="false">SUMIF('Attendance Data'!B:B,A4,'Attendance Data'!F:F)</f>
        <v>266</v>
      </c>
      <c r="C4" s="7" t="n">
        <f aca="false">COUNTIFS('Attendance Data'!B:B,A4,'Attendance Data'!F:F,"&gt;"&amp;22)</f>
        <v>6</v>
      </c>
      <c r="D4" s="7" t="n">
        <f aca="false">COUNTIFS('Attendance Data'!B:B,A4,'Attendance Data'!G:G,"Good")</f>
        <v>6</v>
      </c>
      <c r="F4" s="13" t="s">
        <v>16</v>
      </c>
      <c r="G4" s="9" t="n">
        <f aca="false">COUNTIF('Attendance Data'!G:G,F4)</f>
        <v>89</v>
      </c>
      <c r="H4" s="14" t="n">
        <f aca="false">IFERROR(G4/SUM($G$3:$G$5),0)</f>
        <v>0.436274509803922</v>
      </c>
    </row>
    <row r="5" customFormat="false" ht="15" hidden="false" customHeight="true" outlineLevel="0" collapsed="false">
      <c r="A5" s="5" t="s">
        <v>30</v>
      </c>
      <c r="B5" s="4" t="n">
        <f aca="false">SUMIF('Attendance Data'!B:B,A5,'Attendance Data'!F:F)</f>
        <v>265</v>
      </c>
      <c r="C5" s="4" t="n">
        <f aca="false">COUNTIFS('Attendance Data'!B:B,A5,'Attendance Data'!F:F,"&gt;"&amp;22)</f>
        <v>6</v>
      </c>
      <c r="D5" s="4" t="n">
        <f aca="false">COUNTIFS('Attendance Data'!B:B,A5,'Attendance Data'!G:G,"Good")</f>
        <v>7</v>
      </c>
      <c r="F5" s="15" t="s">
        <v>77</v>
      </c>
      <c r="G5" s="16" t="n">
        <f aca="false">COUNTIF('Attendance Data'!G:G,F5)</f>
        <v>0</v>
      </c>
      <c r="H5" s="17" t="n">
        <f aca="false">IFERROR(G5/SUM($G$3:$G$5),0)</f>
        <v>0</v>
      </c>
    </row>
    <row r="6" customFormat="false" ht="15" hidden="false" customHeight="true" outlineLevel="0" collapsed="false">
      <c r="A6" s="8" t="s">
        <v>34</v>
      </c>
      <c r="B6" s="7" t="n">
        <f aca="false">SUMIF('Attendance Data'!B:B,A6,'Attendance Data'!F:F)</f>
        <v>267</v>
      </c>
      <c r="C6" s="7" t="n">
        <f aca="false">COUNTIFS('Attendance Data'!B:B,A6,'Attendance Data'!F:F,"&gt;"&amp;22)</f>
        <v>6</v>
      </c>
      <c r="D6" s="7" t="n">
        <f aca="false">COUNTIFS('Attendance Data'!B:B,A6,'Attendance Data'!G:G,"Good")</f>
        <v>6</v>
      </c>
    </row>
    <row r="7" customFormat="false" ht="15" hidden="false" customHeight="true" outlineLevel="0" collapsed="false">
      <c r="A7" s="5" t="s">
        <v>36</v>
      </c>
      <c r="B7" s="4" t="n">
        <f aca="false">SUMIF('Attendance Data'!B:B,A7,'Attendance Data'!F:F)</f>
        <v>258</v>
      </c>
      <c r="C7" s="4" t="n">
        <f aca="false">COUNTIFS('Attendance Data'!B:B,A7,'Attendance Data'!F:F,"&gt;"&amp;22)</f>
        <v>5</v>
      </c>
      <c r="D7" s="4" t="n">
        <f aca="false">COUNTIFS('Attendance Data'!B:B,A7,'Attendance Data'!G:G,"Good")</f>
        <v>5</v>
      </c>
    </row>
    <row r="8" customFormat="false" ht="15" hidden="false" customHeight="true" outlineLevel="0" collapsed="false">
      <c r="A8" s="8" t="s">
        <v>40</v>
      </c>
      <c r="B8" s="7" t="n">
        <f aca="false">SUMIF('Attendance Data'!B:B,A8,'Attendance Data'!F:F)</f>
        <v>256</v>
      </c>
      <c r="C8" s="7" t="n">
        <f aca="false">COUNTIFS('Attendance Data'!B:B,A8,'Attendance Data'!F:F,"&gt;"&amp;22)</f>
        <v>4</v>
      </c>
      <c r="D8" s="7" t="n">
        <f aca="false">COUNTIFS('Attendance Data'!B:B,A8,'Attendance Data'!G:G,"Good")</f>
        <v>5</v>
      </c>
    </row>
    <row r="9" customFormat="false" ht="15" hidden="false" customHeight="true" outlineLevel="0" collapsed="false">
      <c r="A9" s="5" t="s">
        <v>43</v>
      </c>
      <c r="B9" s="4" t="n">
        <f aca="false">SUMIF('Attendance Data'!B:B,A9,'Attendance Data'!F:F)</f>
        <v>266</v>
      </c>
      <c r="C9" s="4" t="n">
        <f aca="false">COUNTIFS('Attendance Data'!B:B,A9,'Attendance Data'!F:F,"&gt;"&amp;22)</f>
        <v>6</v>
      </c>
      <c r="D9" s="4" t="n">
        <f aca="false">COUNTIFS('Attendance Data'!B:B,A9,'Attendance Data'!G:G,"Good")</f>
        <v>7</v>
      </c>
    </row>
    <row r="10" customFormat="false" ht="15" hidden="false" customHeight="true" outlineLevel="0" collapsed="false">
      <c r="A10" s="8" t="s">
        <v>46</v>
      </c>
      <c r="B10" s="7" t="n">
        <f aca="false">SUMIF('Attendance Data'!B:B,A10,'Attendance Data'!F:F)</f>
        <v>259</v>
      </c>
      <c r="C10" s="7" t="n">
        <f aca="false">COUNTIFS('Attendance Data'!B:B,A10,'Attendance Data'!F:F,"&gt;"&amp;22)</f>
        <v>4</v>
      </c>
      <c r="D10" s="7" t="n">
        <f aca="false">COUNTIFS('Attendance Data'!B:B,A10,'Attendance Data'!G:G,"Good")</f>
        <v>5</v>
      </c>
    </row>
    <row r="11" customFormat="false" ht="15" hidden="false" customHeight="true" outlineLevel="0" collapsed="false">
      <c r="A11" s="5" t="s">
        <v>48</v>
      </c>
      <c r="B11" s="4" t="n">
        <f aca="false">SUMIF('Attendance Data'!B:B,A11,'Attendance Data'!F:F)</f>
        <v>252</v>
      </c>
      <c r="C11" s="4" t="n">
        <f aca="false">COUNTIFS('Attendance Data'!B:B,A11,'Attendance Data'!F:F,"&gt;"&amp;22)</f>
        <v>3</v>
      </c>
      <c r="D11" s="4" t="n">
        <f aca="false">COUNTIFS('Attendance Data'!B:B,A11,'Attendance Data'!G:G,"Good")</f>
        <v>5</v>
      </c>
    </row>
    <row r="12" customFormat="false" ht="15" hidden="false" customHeight="true" outlineLevel="0" collapsed="false">
      <c r="A12" s="8" t="s">
        <v>51</v>
      </c>
      <c r="B12" s="7" t="n">
        <f aca="false">SUMIF('Attendance Data'!B:B,A12,'Attendance Data'!F:F)</f>
        <v>272</v>
      </c>
      <c r="C12" s="7" t="n">
        <f aca="false">COUNTIFS('Attendance Data'!B:B,A12,'Attendance Data'!F:F,"&gt;"&amp;22)</f>
        <v>9</v>
      </c>
      <c r="D12" s="7" t="n">
        <f aca="false">COUNTIFS('Attendance Data'!B:B,A12,'Attendance Data'!G:G,"Good")</f>
        <v>9</v>
      </c>
    </row>
    <row r="13" customFormat="false" ht="15" hidden="false" customHeight="true" outlineLevel="0" collapsed="false">
      <c r="A13" s="5" t="s">
        <v>54</v>
      </c>
      <c r="B13" s="4" t="n">
        <f aca="false">SUMIF('Attendance Data'!B:B,A13,'Attendance Data'!F:F)</f>
        <v>265</v>
      </c>
      <c r="C13" s="4" t="n">
        <f aca="false">COUNTIFS('Attendance Data'!B:B,A13,'Attendance Data'!F:F,"&gt;"&amp;22)</f>
        <v>4</v>
      </c>
      <c r="D13" s="4" t="n">
        <f aca="false">COUNTIFS('Attendance Data'!B:B,A13,'Attendance Data'!G:G,"Good")</f>
        <v>7</v>
      </c>
    </row>
    <row r="14" customFormat="false" ht="15" hidden="false" customHeight="true" outlineLevel="0" collapsed="false">
      <c r="A14" s="8" t="s">
        <v>56</v>
      </c>
      <c r="B14" s="7" t="n">
        <f aca="false">SUMIF('Attendance Data'!B:B,A14,'Attendance Data'!F:F)</f>
        <v>276</v>
      </c>
      <c r="C14" s="7" t="n">
        <f aca="false">COUNTIFS('Attendance Data'!B:B,A14,'Attendance Data'!F:F,"&gt;"&amp;22)</f>
        <v>7</v>
      </c>
      <c r="D14" s="7" t="n">
        <f aca="false">COUNTIFS('Attendance Data'!B:B,A14,'Attendance Data'!G:G,"Good")</f>
        <v>9</v>
      </c>
    </row>
    <row r="15" customFormat="false" ht="15" hidden="false" customHeight="true" outlineLevel="0" collapsed="false">
      <c r="A15" s="5" t="s">
        <v>58</v>
      </c>
      <c r="B15" s="4" t="n">
        <f aca="false">SUMIF('Attendance Data'!B:B,A15,'Attendance Data'!F:F)</f>
        <v>272</v>
      </c>
      <c r="C15" s="4" t="n">
        <f aca="false">COUNTIFS('Attendance Data'!B:B,A15,'Attendance Data'!F:F,"&gt;"&amp;22)</f>
        <v>6</v>
      </c>
      <c r="D15" s="4" t="n">
        <f aca="false">COUNTIFS('Attendance Data'!B:B,A15,'Attendance Data'!G:G,"Good")</f>
        <v>9</v>
      </c>
    </row>
    <row r="16" customFormat="false" ht="15" hidden="false" customHeight="true" outlineLevel="0" collapsed="false">
      <c r="A16" s="8" t="s">
        <v>60</v>
      </c>
      <c r="B16" s="7" t="n">
        <f aca="false">SUMIF('Attendance Data'!B:B,A16,'Attendance Data'!F:F)</f>
        <v>265</v>
      </c>
      <c r="C16" s="7" t="n">
        <f aca="false">COUNTIFS('Attendance Data'!B:B,A16,'Attendance Data'!F:F,"&gt;"&amp;22)</f>
        <v>6</v>
      </c>
      <c r="D16" s="7" t="n">
        <f aca="false">COUNTIFS('Attendance Data'!B:B,A16,'Attendance Data'!G:G,"Good")</f>
        <v>8</v>
      </c>
    </row>
    <row r="17" customFormat="false" ht="15" hidden="false" customHeight="true" outlineLevel="0" collapsed="false">
      <c r="A17" s="5" t="s">
        <v>62</v>
      </c>
      <c r="B17" s="4" t="n">
        <f aca="false">SUMIF('Attendance Data'!B:B,A17,'Attendance Data'!F:F)</f>
        <v>268</v>
      </c>
      <c r="C17" s="4" t="n">
        <f aca="false">COUNTIFS('Attendance Data'!B:B,A17,'Attendance Data'!F:F,"&gt;"&amp;22)</f>
        <v>5</v>
      </c>
      <c r="D17" s="4" t="n">
        <f aca="false">COUNTIFS('Attendance Data'!B:B,A17,'Attendance Data'!G:G,"Good")</f>
        <v>6</v>
      </c>
    </row>
    <row r="18" customFormat="false" ht="15" hidden="false" customHeight="true" outlineLevel="0" collapsed="false">
      <c r="A18" s="8" t="s">
        <v>64</v>
      </c>
      <c r="B18" s="7" t="n">
        <f aca="false">SUMIF('Attendance Data'!B:B,A18,'Attendance Data'!F:F)</f>
        <v>262</v>
      </c>
      <c r="C18" s="7" t="n">
        <f aca="false">COUNTIFS('Attendance Data'!B:B,A18,'Attendance Data'!F:F,"&gt;"&amp;22)</f>
        <v>4</v>
      </c>
      <c r="D18" s="7" t="n">
        <f aca="false">COUNTIFS('Attendance Data'!B:B,A18,'Attendance Data'!G:G,"Good")</f>
        <v>7</v>
      </c>
    </row>
    <row r="19" customFormat="false" ht="15" hidden="false" customHeight="true" outlineLevel="0" collapsed="false">
      <c r="A19" s="5" t="s">
        <v>67</v>
      </c>
      <c r="B19" s="4" t="n">
        <f aca="false">SUMIF('Attendance Data'!B:B,A19,'Attendance Data'!F:F)</f>
        <v>265</v>
      </c>
      <c r="C19" s="4" t="n">
        <f aca="false">COUNTIFS('Attendance Data'!B:B,A19,'Attendance Data'!F:F,"&gt;"&amp;22)</f>
        <v>5</v>
      </c>
      <c r="D19" s="4" t="n">
        <f aca="false">COUNTIFS('Attendance Data'!B:B,A19,'Attendance Data'!G:G,"Good")</f>
        <v>8</v>
      </c>
    </row>
  </sheetData>
  <mergeCells count="2">
    <mergeCell ref="A1:D1"/>
    <mergeCell ref="F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5" min="5" style="1" width="16"/>
    <col collapsed="false" customWidth="true" hidden="false" outlineLevel="0" max="6" min="6" style="1" width="13"/>
    <col collapsed="false" customWidth="true" hidden="false" outlineLevel="0" max="7" min="7" style="1" width="16"/>
    <col collapsed="false" customWidth="true" hidden="false" outlineLevel="0" max="9" min="8" style="1" width="14"/>
  </cols>
  <sheetData>
    <row r="1" customFormat="false" ht="27.75" hidden="false" customHeight="true" outlineLevel="0" collapsed="false">
      <c r="A1" s="10" t="s">
        <v>78</v>
      </c>
      <c r="B1" s="10"/>
      <c r="C1" s="10"/>
      <c r="D1" s="10"/>
      <c r="E1" s="10"/>
      <c r="F1" s="10"/>
      <c r="G1" s="10"/>
      <c r="H1" s="10"/>
    </row>
    <row r="2" customFormat="false" ht="26.25" hidden="false" customHeight="true" outlineLevel="0" collapsed="false">
      <c r="A2" s="3" t="s">
        <v>1</v>
      </c>
      <c r="B2" s="3" t="s">
        <v>79</v>
      </c>
      <c r="C2" s="3" t="s">
        <v>3</v>
      </c>
      <c r="D2" s="3" t="s">
        <v>4</v>
      </c>
      <c r="E2" s="3" t="s">
        <v>80</v>
      </c>
      <c r="F2" s="3" t="s">
        <v>6</v>
      </c>
      <c r="G2" s="3" t="s">
        <v>81</v>
      </c>
      <c r="H2" s="3" t="s">
        <v>82</v>
      </c>
      <c r="I2" s="3" t="s">
        <v>83</v>
      </c>
    </row>
    <row r="3" customFormat="false" ht="15" hidden="false" customHeight="true" outlineLevel="0" collapsed="false">
      <c r="A3" s="4" t="s">
        <v>8</v>
      </c>
      <c r="B3" s="5" t="s">
        <v>9</v>
      </c>
      <c r="C3" s="5" t="s">
        <v>10</v>
      </c>
      <c r="D3" s="4" t="s">
        <v>11</v>
      </c>
      <c r="E3" s="18" t="n">
        <v>28000</v>
      </c>
      <c r="F3" s="4" t="n">
        <f aca="false">SUMIFS('Attendance Data'!F:F,'Attendance Data'!B:B,B3,'Attendance Data'!E:E,"March")</f>
        <v>26</v>
      </c>
      <c r="G3" s="18" t="n">
        <f aca="false">ROUND(E3/26*F3,0)</f>
        <v>28000</v>
      </c>
      <c r="H3" s="18" t="n">
        <f aca="false">IFERROR(IF(F3&lt;22,(22-F3)*200,0),0)</f>
        <v>0</v>
      </c>
      <c r="I3" s="18" t="n">
        <f aca="false">G3-H3</f>
        <v>28000</v>
      </c>
    </row>
    <row r="4" customFormat="false" ht="15" hidden="false" customHeight="true" outlineLevel="0" collapsed="false">
      <c r="A4" s="7" t="s">
        <v>26</v>
      </c>
      <c r="B4" s="8" t="s">
        <v>27</v>
      </c>
      <c r="C4" s="8" t="s">
        <v>28</v>
      </c>
      <c r="D4" s="7" t="s">
        <v>11</v>
      </c>
      <c r="E4" s="19" t="n">
        <v>18000</v>
      </c>
      <c r="F4" s="7" t="n">
        <f aca="false">SUMIFS('Attendance Data'!F:F,'Attendance Data'!B:B,B4,'Attendance Data'!E:E,"March")</f>
        <v>23</v>
      </c>
      <c r="G4" s="19" t="n">
        <f aca="false">ROUND(E4/26*F4,0)</f>
        <v>15923</v>
      </c>
      <c r="H4" s="19" t="n">
        <f aca="false">IFERROR(IF(F4&lt;22,(22-F4)*200,0),0)</f>
        <v>0</v>
      </c>
      <c r="I4" s="19" t="n">
        <f aca="false">G4-H4</f>
        <v>15923</v>
      </c>
    </row>
    <row r="5" customFormat="false" ht="15" hidden="false" customHeight="true" outlineLevel="0" collapsed="false">
      <c r="A5" s="4" t="s">
        <v>29</v>
      </c>
      <c r="B5" s="5" t="s">
        <v>30</v>
      </c>
      <c r="C5" s="5" t="s">
        <v>31</v>
      </c>
      <c r="D5" s="4" t="s">
        <v>32</v>
      </c>
      <c r="E5" s="18" t="n">
        <v>16000</v>
      </c>
      <c r="F5" s="4" t="n">
        <f aca="false">SUMIFS('Attendance Data'!F:F,'Attendance Data'!B:B,B5,'Attendance Data'!E:E,"March")</f>
        <v>21</v>
      </c>
      <c r="G5" s="18" t="n">
        <f aca="false">ROUND(E5/26*F5,0)</f>
        <v>12923</v>
      </c>
      <c r="H5" s="18" t="n">
        <f aca="false">IFERROR(IF(F5&lt;22,(22-F5)*200,0),0)</f>
        <v>200</v>
      </c>
      <c r="I5" s="18" t="n">
        <f aca="false">G5-H5</f>
        <v>12723</v>
      </c>
    </row>
    <row r="6" customFormat="false" ht="15" hidden="false" customHeight="true" outlineLevel="0" collapsed="false">
      <c r="A6" s="7" t="s">
        <v>33</v>
      </c>
      <c r="B6" s="8" t="s">
        <v>34</v>
      </c>
      <c r="C6" s="8" t="s">
        <v>28</v>
      </c>
      <c r="D6" s="7" t="s">
        <v>32</v>
      </c>
      <c r="E6" s="19" t="n">
        <v>18000</v>
      </c>
      <c r="F6" s="7" t="n">
        <f aca="false">SUMIFS('Attendance Data'!F:F,'Attendance Data'!B:B,B6,'Attendance Data'!E:E,"March")</f>
        <v>20</v>
      </c>
      <c r="G6" s="19" t="n">
        <f aca="false">ROUND(E6/26*F6,0)</f>
        <v>13846</v>
      </c>
      <c r="H6" s="19" t="n">
        <f aca="false">IFERROR(IF(F6&lt;22,(22-F6)*200,0),0)</f>
        <v>400</v>
      </c>
      <c r="I6" s="19" t="n">
        <f aca="false">G6-H6</f>
        <v>13446</v>
      </c>
    </row>
    <row r="7" customFormat="false" ht="15" hidden="false" customHeight="true" outlineLevel="0" collapsed="false">
      <c r="A7" s="4" t="s">
        <v>35</v>
      </c>
      <c r="B7" s="5" t="s">
        <v>36</v>
      </c>
      <c r="C7" s="5" t="s">
        <v>37</v>
      </c>
      <c r="D7" s="4" t="s">
        <v>38</v>
      </c>
      <c r="E7" s="18" t="n">
        <v>15000</v>
      </c>
      <c r="F7" s="4" t="n">
        <f aca="false">SUMIFS('Attendance Data'!F:F,'Attendance Data'!B:B,B7,'Attendance Data'!E:E,"March")</f>
        <v>24</v>
      </c>
      <c r="G7" s="18" t="n">
        <f aca="false">ROUND(E7/26*F7,0)</f>
        <v>13846</v>
      </c>
      <c r="H7" s="18" t="n">
        <f aca="false">IFERROR(IF(F7&lt;22,(22-F7)*200,0),0)</f>
        <v>0</v>
      </c>
      <c r="I7" s="18" t="n">
        <f aca="false">G7-H7</f>
        <v>13846</v>
      </c>
    </row>
    <row r="8" customFormat="false" ht="15" hidden="false" customHeight="true" outlineLevel="0" collapsed="false">
      <c r="A8" s="7" t="s">
        <v>39</v>
      </c>
      <c r="B8" s="8" t="s">
        <v>40</v>
      </c>
      <c r="C8" s="8" t="s">
        <v>41</v>
      </c>
      <c r="D8" s="7" t="s">
        <v>38</v>
      </c>
      <c r="E8" s="19" t="n">
        <v>20000</v>
      </c>
      <c r="F8" s="7" t="n">
        <f aca="false">SUMIFS('Attendance Data'!F:F,'Attendance Data'!B:B,B8,'Attendance Data'!E:E,"March")</f>
        <v>21</v>
      </c>
      <c r="G8" s="19" t="n">
        <f aca="false">ROUND(E8/26*F8,0)</f>
        <v>16154</v>
      </c>
      <c r="H8" s="19" t="n">
        <f aca="false">IFERROR(IF(F8&lt;22,(22-F8)*200,0),0)</f>
        <v>200</v>
      </c>
      <c r="I8" s="19" t="n">
        <f aca="false">G8-H8</f>
        <v>15954</v>
      </c>
    </row>
    <row r="9" customFormat="false" ht="15" hidden="false" customHeight="true" outlineLevel="0" collapsed="false">
      <c r="A9" s="4" t="s">
        <v>42</v>
      </c>
      <c r="B9" s="5" t="s">
        <v>43</v>
      </c>
      <c r="C9" s="5" t="s">
        <v>31</v>
      </c>
      <c r="D9" s="4" t="s">
        <v>44</v>
      </c>
      <c r="E9" s="18" t="n">
        <v>16000</v>
      </c>
      <c r="F9" s="4" t="n">
        <f aca="false">SUMIFS('Attendance Data'!F:F,'Attendance Data'!B:B,B9,'Attendance Data'!E:E,"March")</f>
        <v>19</v>
      </c>
      <c r="G9" s="18" t="n">
        <f aca="false">ROUND(E9/26*F9,0)</f>
        <v>11692</v>
      </c>
      <c r="H9" s="18" t="n">
        <f aca="false">IFERROR(IF(F9&lt;22,(22-F9)*200,0),0)</f>
        <v>600</v>
      </c>
      <c r="I9" s="18" t="n">
        <f aca="false">G9-H9</f>
        <v>11092</v>
      </c>
    </row>
    <row r="10" customFormat="false" ht="15" hidden="false" customHeight="true" outlineLevel="0" collapsed="false">
      <c r="A10" s="7" t="s">
        <v>45</v>
      </c>
      <c r="B10" s="8" t="s">
        <v>46</v>
      </c>
      <c r="C10" s="8" t="s">
        <v>28</v>
      </c>
      <c r="D10" s="7" t="s">
        <v>44</v>
      </c>
      <c r="E10" s="19" t="n">
        <v>18000</v>
      </c>
      <c r="F10" s="7" t="n">
        <f aca="false">SUMIFS('Attendance Data'!F:F,'Attendance Data'!B:B,B10,'Attendance Data'!E:E,"March")</f>
        <v>25</v>
      </c>
      <c r="G10" s="19" t="n">
        <f aca="false">ROUND(E10/26*F10,0)</f>
        <v>17308</v>
      </c>
      <c r="H10" s="19" t="n">
        <f aca="false">IFERROR(IF(F10&lt;22,(22-F10)*200,0),0)</f>
        <v>0</v>
      </c>
      <c r="I10" s="19" t="n">
        <f aca="false">G10-H10</f>
        <v>17308</v>
      </c>
    </row>
    <row r="11" customFormat="false" ht="15" hidden="false" customHeight="true" outlineLevel="0" collapsed="false">
      <c r="A11" s="4" t="s">
        <v>47</v>
      </c>
      <c r="B11" s="5" t="s">
        <v>48</v>
      </c>
      <c r="C11" s="5" t="s">
        <v>49</v>
      </c>
      <c r="D11" s="4" t="s">
        <v>11</v>
      </c>
      <c r="E11" s="18" t="n">
        <v>45000</v>
      </c>
      <c r="F11" s="4" t="n">
        <f aca="false">SUMIFS('Attendance Data'!F:F,'Attendance Data'!B:B,B11,'Attendance Data'!E:E,"March")</f>
        <v>21</v>
      </c>
      <c r="G11" s="18" t="n">
        <f aca="false">ROUND(E11/26*F11,0)</f>
        <v>36346</v>
      </c>
      <c r="H11" s="18" t="n">
        <f aca="false">IFERROR(IF(F11&lt;22,(22-F11)*200,0),0)</f>
        <v>200</v>
      </c>
      <c r="I11" s="18" t="n">
        <f aca="false">G11-H11</f>
        <v>36146</v>
      </c>
    </row>
    <row r="12" customFormat="false" ht="15" hidden="false" customHeight="true" outlineLevel="0" collapsed="false">
      <c r="A12" s="7" t="s">
        <v>50</v>
      </c>
      <c r="B12" s="8" t="s">
        <v>51</v>
      </c>
      <c r="C12" s="8" t="s">
        <v>52</v>
      </c>
      <c r="D12" s="7" t="s">
        <v>32</v>
      </c>
      <c r="E12" s="19" t="n">
        <v>17000</v>
      </c>
      <c r="F12" s="7" t="n">
        <f aca="false">SUMIFS('Attendance Data'!F:F,'Attendance Data'!B:B,B12,'Attendance Data'!E:E,"March")</f>
        <v>23</v>
      </c>
      <c r="G12" s="19" t="n">
        <f aca="false">ROUND(E12/26*F12,0)</f>
        <v>15038</v>
      </c>
      <c r="H12" s="19" t="n">
        <f aca="false">IFERROR(IF(F12&lt;22,(22-F12)*200,0),0)</f>
        <v>0</v>
      </c>
      <c r="I12" s="19" t="n">
        <f aca="false">G12-H12</f>
        <v>15038</v>
      </c>
    </row>
    <row r="13" customFormat="false" ht="15" hidden="false" customHeight="true" outlineLevel="0" collapsed="false">
      <c r="A13" s="4" t="s">
        <v>53</v>
      </c>
      <c r="B13" s="5" t="s">
        <v>54</v>
      </c>
      <c r="C13" s="5" t="s">
        <v>31</v>
      </c>
      <c r="D13" s="4" t="s">
        <v>38</v>
      </c>
      <c r="E13" s="18" t="n">
        <v>16000</v>
      </c>
      <c r="F13" s="4" t="n">
        <f aca="false">SUMIFS('Attendance Data'!F:F,'Attendance Data'!B:B,B13,'Attendance Data'!E:E,"March")</f>
        <v>22</v>
      </c>
      <c r="G13" s="18" t="n">
        <f aca="false">ROUND(E13/26*F13,0)</f>
        <v>13538</v>
      </c>
      <c r="H13" s="18" t="n">
        <f aca="false">IFERROR(IF(F13&lt;22,(22-F13)*200,0),0)</f>
        <v>0</v>
      </c>
      <c r="I13" s="18" t="n">
        <f aca="false">G13-H13</f>
        <v>13538</v>
      </c>
    </row>
    <row r="14" customFormat="false" ht="15" hidden="false" customHeight="true" outlineLevel="0" collapsed="false">
      <c r="A14" s="7" t="s">
        <v>55</v>
      </c>
      <c r="B14" s="8" t="s">
        <v>56</v>
      </c>
      <c r="C14" s="8" t="s">
        <v>41</v>
      </c>
      <c r="D14" s="7" t="s">
        <v>44</v>
      </c>
      <c r="E14" s="19" t="n">
        <v>20000</v>
      </c>
      <c r="F14" s="7" t="n">
        <f aca="false">SUMIFS('Attendance Data'!F:F,'Attendance Data'!B:B,B14,'Attendance Data'!E:E,"March")</f>
        <v>20</v>
      </c>
      <c r="G14" s="19" t="n">
        <f aca="false">ROUND(E14/26*F14,0)</f>
        <v>15385</v>
      </c>
      <c r="H14" s="19" t="n">
        <f aca="false">IFERROR(IF(F14&lt;22,(22-F14)*200,0),0)</f>
        <v>400</v>
      </c>
      <c r="I14" s="19" t="n">
        <f aca="false">G14-H14</f>
        <v>14985</v>
      </c>
    </row>
    <row r="15" customFormat="false" ht="15" hidden="false" customHeight="true" outlineLevel="0" collapsed="false">
      <c r="A15" s="4" t="s">
        <v>57</v>
      </c>
      <c r="B15" s="5" t="s">
        <v>58</v>
      </c>
      <c r="C15" s="5" t="s">
        <v>37</v>
      </c>
      <c r="D15" s="4" t="s">
        <v>11</v>
      </c>
      <c r="E15" s="18" t="n">
        <v>15000</v>
      </c>
      <c r="F15" s="4" t="n">
        <f aca="false">SUMIFS('Attendance Data'!F:F,'Attendance Data'!B:B,B15,'Attendance Data'!E:E,"March")</f>
        <v>21</v>
      </c>
      <c r="G15" s="18" t="n">
        <f aca="false">ROUND(E15/26*F15,0)</f>
        <v>12115</v>
      </c>
      <c r="H15" s="18" t="n">
        <f aca="false">IFERROR(IF(F15&lt;22,(22-F15)*200,0),0)</f>
        <v>200</v>
      </c>
      <c r="I15" s="18" t="n">
        <f aca="false">G15-H15</f>
        <v>11915</v>
      </c>
    </row>
    <row r="16" customFormat="false" ht="15" hidden="false" customHeight="true" outlineLevel="0" collapsed="false">
      <c r="A16" s="7" t="s">
        <v>59</v>
      </c>
      <c r="B16" s="8" t="s">
        <v>60</v>
      </c>
      <c r="C16" s="8" t="s">
        <v>28</v>
      </c>
      <c r="D16" s="7" t="s">
        <v>38</v>
      </c>
      <c r="E16" s="19" t="n">
        <v>18000</v>
      </c>
      <c r="F16" s="7" t="n">
        <f aca="false">SUMIFS('Attendance Data'!F:F,'Attendance Data'!B:B,B16,'Attendance Data'!E:E,"March")</f>
        <v>24</v>
      </c>
      <c r="G16" s="19" t="n">
        <f aca="false">ROUND(E16/26*F16,0)</f>
        <v>16615</v>
      </c>
      <c r="H16" s="19" t="n">
        <f aca="false">IFERROR(IF(F16&lt;22,(22-F16)*200,0),0)</f>
        <v>0</v>
      </c>
      <c r="I16" s="19" t="n">
        <f aca="false">G16-H16</f>
        <v>16615</v>
      </c>
    </row>
    <row r="17" customFormat="false" ht="15" hidden="false" customHeight="true" outlineLevel="0" collapsed="false">
      <c r="A17" s="4" t="s">
        <v>61</v>
      </c>
      <c r="B17" s="5" t="s">
        <v>62</v>
      </c>
      <c r="C17" s="5" t="s">
        <v>31</v>
      </c>
      <c r="D17" s="4" t="s">
        <v>44</v>
      </c>
      <c r="E17" s="18" t="n">
        <v>16000</v>
      </c>
      <c r="F17" s="4" t="n">
        <f aca="false">SUMIFS('Attendance Data'!F:F,'Attendance Data'!B:B,B17,'Attendance Data'!E:E,"March")</f>
        <v>21</v>
      </c>
      <c r="G17" s="18" t="n">
        <f aca="false">ROUND(E17/26*F17,0)</f>
        <v>12923</v>
      </c>
      <c r="H17" s="18" t="n">
        <f aca="false">IFERROR(IF(F17&lt;22,(22-F17)*200,0),0)</f>
        <v>200</v>
      </c>
      <c r="I17" s="18" t="n">
        <f aca="false">G17-H17</f>
        <v>12723</v>
      </c>
    </row>
    <row r="18" customFormat="false" ht="15" hidden="false" customHeight="true" outlineLevel="0" collapsed="false">
      <c r="A18" s="7" t="s">
        <v>63</v>
      </c>
      <c r="B18" s="8" t="s">
        <v>64</v>
      </c>
      <c r="C18" s="8" t="s">
        <v>65</v>
      </c>
      <c r="D18" s="7" t="s">
        <v>11</v>
      </c>
      <c r="E18" s="19" t="n">
        <v>22000</v>
      </c>
      <c r="F18" s="7" t="n">
        <f aca="false">SUMIFS('Attendance Data'!F:F,'Attendance Data'!B:B,B18,'Attendance Data'!E:E,"March")</f>
        <v>18</v>
      </c>
      <c r="G18" s="19" t="n">
        <f aca="false">ROUND(E18/26*F18,0)</f>
        <v>15231</v>
      </c>
      <c r="H18" s="19" t="n">
        <f aca="false">IFERROR(IF(F18&lt;22,(22-F18)*200,0),0)</f>
        <v>800</v>
      </c>
      <c r="I18" s="19" t="n">
        <f aca="false">G18-H18</f>
        <v>14431</v>
      </c>
    </row>
    <row r="19" customFormat="false" ht="15" hidden="false" customHeight="true" outlineLevel="0" collapsed="false">
      <c r="A19" s="4" t="s">
        <v>66</v>
      </c>
      <c r="B19" s="5" t="s">
        <v>67</v>
      </c>
      <c r="C19" s="5" t="s">
        <v>68</v>
      </c>
      <c r="D19" s="4" t="s">
        <v>32</v>
      </c>
      <c r="E19" s="18" t="n">
        <v>30000</v>
      </c>
      <c r="F19" s="4" t="n">
        <f aca="false">SUMIFS('Attendance Data'!F:F,'Attendance Data'!B:B,B19,'Attendance Data'!E:E,"March")</f>
        <v>22</v>
      </c>
      <c r="G19" s="18" t="n">
        <f aca="false">ROUND(E19/26*F19,0)</f>
        <v>25385</v>
      </c>
      <c r="H19" s="18" t="n">
        <f aca="false">IFERROR(IF(F19&lt;22,(22-F19)*200,0),0)</f>
        <v>0</v>
      </c>
      <c r="I19" s="18" t="n">
        <f aca="false">G19-H19</f>
        <v>25385</v>
      </c>
    </row>
    <row r="20" customFormat="false" ht="15" hidden="false" customHeight="true" outlineLevel="0" collapsed="false">
      <c r="B20" s="20" t="s">
        <v>84</v>
      </c>
      <c r="E20" s="21" t="n">
        <f aca="false">SUM(E3:E19)</f>
        <v>348000</v>
      </c>
      <c r="G20" s="21" t="n">
        <f aca="false">SUM(G3:G19)</f>
        <v>292268</v>
      </c>
      <c r="H20" s="21" t="n">
        <f aca="false">SUM(H3:H19)</f>
        <v>3200</v>
      </c>
      <c r="I20" s="21" t="n">
        <f aca="false">SUM(I3:I19)</f>
        <v>289068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5" min="2" style="1" width="18"/>
    <col collapsed="false" customWidth="true" hidden="false" outlineLevel="0" max="6" min="6" style="1" width="16"/>
  </cols>
  <sheetData>
    <row r="1" customFormat="false" ht="27.75" hidden="false" customHeight="true" outlineLevel="0" collapsed="false">
      <c r="A1" s="10" t="s">
        <v>85</v>
      </c>
      <c r="B1" s="10"/>
      <c r="C1" s="10"/>
      <c r="D1" s="10"/>
      <c r="E1" s="10"/>
      <c r="F1" s="10"/>
    </row>
    <row r="2" customFormat="false" ht="26.25" hidden="false" customHeight="true" outlineLevel="0" collapsed="false">
      <c r="A2" s="3" t="s">
        <v>5</v>
      </c>
      <c r="B2" s="3" t="s">
        <v>72</v>
      </c>
      <c r="C2" s="3" t="s">
        <v>86</v>
      </c>
      <c r="D2" s="3" t="s">
        <v>87</v>
      </c>
      <c r="E2" s="3" t="s">
        <v>88</v>
      </c>
      <c r="F2" s="3" t="s">
        <v>89</v>
      </c>
    </row>
    <row r="3" customFormat="false" ht="15" hidden="false" customHeight="true" outlineLevel="0" collapsed="false">
      <c r="A3" s="5" t="s">
        <v>12</v>
      </c>
      <c r="B3" s="4" t="n">
        <f aca="false">SUMIF('Attendance Data'!E:E,A3,'Attendance Data'!F:F)</f>
        <v>370</v>
      </c>
      <c r="C3" s="4" t="n">
        <f aca="false">COUNTIFS('Attendance Data'!E:E,A3,'Attendance Data'!G:G,"Warning")</f>
        <v>7</v>
      </c>
      <c r="D3" s="22" t="n">
        <f aca="false">IFERROR(B3/(17*26),0)</f>
        <v>0.83710407239819</v>
      </c>
      <c r="E3" s="4" t="n">
        <f aca="false">COUNTIFS('Attendance Data'!E:E,A3,'Attendance Data'!G:G,"Good")</f>
        <v>10</v>
      </c>
      <c r="F3" s="4" t="n">
        <f aca="false">COUNTIFS('Attendance Data'!E:E,A3,'Attendance Data'!G:G,"Warning")</f>
        <v>7</v>
      </c>
    </row>
    <row r="4" customFormat="false" ht="15" hidden="false" customHeight="true" outlineLevel="0" collapsed="false">
      <c r="A4" s="8" t="s">
        <v>14</v>
      </c>
      <c r="B4" s="7" t="n">
        <f aca="false">SUMIF('Attendance Data'!E:E,A4,'Attendance Data'!F:F)</f>
        <v>381</v>
      </c>
      <c r="C4" s="7" t="n">
        <f aca="false">COUNTIFS('Attendance Data'!E:E,A4,'Attendance Data'!G:G,"Warning")</f>
        <v>6</v>
      </c>
      <c r="D4" s="23" t="n">
        <f aca="false">IFERROR(B4/(17*26),0)</f>
        <v>0.861990950226244</v>
      </c>
      <c r="E4" s="7" t="n">
        <f aca="false">COUNTIFS('Attendance Data'!E:E,A4,'Attendance Data'!G:G,"Good")</f>
        <v>11</v>
      </c>
      <c r="F4" s="7" t="n">
        <f aca="false">COUNTIFS('Attendance Data'!E:E,A4,'Attendance Data'!G:G,"Warning")</f>
        <v>6</v>
      </c>
    </row>
    <row r="5" customFormat="false" ht="15" hidden="false" customHeight="true" outlineLevel="0" collapsed="false">
      <c r="A5" s="5" t="s">
        <v>15</v>
      </c>
      <c r="B5" s="4" t="n">
        <f aca="false">SUMIF('Attendance Data'!E:E,A5,'Attendance Data'!F:F)</f>
        <v>380</v>
      </c>
      <c r="C5" s="4" t="n">
        <f aca="false">COUNTIFS('Attendance Data'!E:E,A5,'Attendance Data'!G:G,"Warning")</f>
        <v>7</v>
      </c>
      <c r="D5" s="22" t="n">
        <f aca="false">IFERROR(B5/(17*26),0)</f>
        <v>0.85972850678733</v>
      </c>
      <c r="E5" s="4" t="n">
        <f aca="false">COUNTIFS('Attendance Data'!E:E,A5,'Attendance Data'!G:G,"Good")</f>
        <v>10</v>
      </c>
      <c r="F5" s="4" t="n">
        <f aca="false">COUNTIFS('Attendance Data'!E:E,A5,'Attendance Data'!G:G,"Warning")</f>
        <v>7</v>
      </c>
    </row>
    <row r="6" customFormat="false" ht="15" hidden="false" customHeight="true" outlineLevel="0" collapsed="false">
      <c r="A6" s="8" t="s">
        <v>17</v>
      </c>
      <c r="B6" s="7" t="n">
        <f aca="false">SUMIF('Attendance Data'!E:E,A6,'Attendance Data'!F:F)</f>
        <v>392</v>
      </c>
      <c r="C6" s="7" t="n">
        <f aca="false">COUNTIFS('Attendance Data'!E:E,A6,'Attendance Data'!G:G,"Warning")</f>
        <v>3</v>
      </c>
      <c r="D6" s="23" t="n">
        <f aca="false">IFERROR(B6/(17*26),0)</f>
        <v>0.886877828054299</v>
      </c>
      <c r="E6" s="7" t="n">
        <f aca="false">COUNTIFS('Attendance Data'!E:E,A6,'Attendance Data'!G:G,"Good")</f>
        <v>14</v>
      </c>
      <c r="F6" s="7" t="n">
        <f aca="false">COUNTIFS('Attendance Data'!E:E,A6,'Attendance Data'!G:G,"Warning")</f>
        <v>3</v>
      </c>
    </row>
    <row r="7" customFormat="false" ht="15" hidden="false" customHeight="true" outlineLevel="0" collapsed="false">
      <c r="A7" s="5" t="s">
        <v>18</v>
      </c>
      <c r="B7" s="4" t="n">
        <f aca="false">SUMIF('Attendance Data'!E:E,A7,'Attendance Data'!F:F)</f>
        <v>374</v>
      </c>
      <c r="C7" s="4" t="n">
        <f aca="false">COUNTIFS('Attendance Data'!E:E,A7,'Attendance Data'!G:G,"Warning")</f>
        <v>10</v>
      </c>
      <c r="D7" s="22" t="n">
        <f aca="false">IFERROR(B7/(17*26),0)</f>
        <v>0.846153846153846</v>
      </c>
      <c r="E7" s="4" t="n">
        <f aca="false">COUNTIFS('Attendance Data'!E:E,A7,'Attendance Data'!G:G,"Good")</f>
        <v>7</v>
      </c>
      <c r="F7" s="4" t="n">
        <f aca="false">COUNTIFS('Attendance Data'!E:E,A7,'Attendance Data'!G:G,"Warning")</f>
        <v>10</v>
      </c>
    </row>
    <row r="8" customFormat="false" ht="15" hidden="false" customHeight="true" outlineLevel="0" collapsed="false">
      <c r="A8" s="8" t="s">
        <v>19</v>
      </c>
      <c r="B8" s="7" t="n">
        <f aca="false">SUMIF('Attendance Data'!E:E,A8,'Attendance Data'!F:F)</f>
        <v>362</v>
      </c>
      <c r="C8" s="7" t="n">
        <f aca="false">COUNTIFS('Attendance Data'!E:E,A8,'Attendance Data'!G:G,"Warning")</f>
        <v>8</v>
      </c>
      <c r="D8" s="23" t="n">
        <f aca="false">IFERROR(B8/(17*26),0)</f>
        <v>0.819004524886878</v>
      </c>
      <c r="E8" s="7" t="n">
        <f aca="false">COUNTIFS('Attendance Data'!E:E,A8,'Attendance Data'!G:G,"Good")</f>
        <v>9</v>
      </c>
      <c r="F8" s="7" t="n">
        <f aca="false">COUNTIFS('Attendance Data'!E:E,A8,'Attendance Data'!G:G,"Warning")</f>
        <v>8</v>
      </c>
    </row>
    <row r="9" customFormat="false" ht="15" hidden="false" customHeight="true" outlineLevel="0" collapsed="false">
      <c r="A9" s="5" t="s">
        <v>20</v>
      </c>
      <c r="B9" s="4" t="n">
        <f aca="false">SUMIF('Attendance Data'!E:E,A9,'Attendance Data'!F:F)</f>
        <v>382</v>
      </c>
      <c r="C9" s="4" t="n">
        <f aca="false">COUNTIFS('Attendance Data'!E:E,A9,'Attendance Data'!G:G,"Warning")</f>
        <v>7</v>
      </c>
      <c r="D9" s="22" t="n">
        <f aca="false">IFERROR(B9/(17*26),0)</f>
        <v>0.864253393665158</v>
      </c>
      <c r="E9" s="4" t="n">
        <f aca="false">COUNTIFS('Attendance Data'!E:E,A9,'Attendance Data'!G:G,"Good")</f>
        <v>10</v>
      </c>
      <c r="F9" s="4" t="n">
        <f aca="false">COUNTIFS('Attendance Data'!E:E,A9,'Attendance Data'!G:G,"Warning")</f>
        <v>7</v>
      </c>
    </row>
    <row r="10" customFormat="false" ht="15" hidden="false" customHeight="true" outlineLevel="0" collapsed="false">
      <c r="A10" s="8" t="s">
        <v>21</v>
      </c>
      <c r="B10" s="7" t="n">
        <f aca="false">SUMIF('Attendance Data'!E:E,A10,'Attendance Data'!F:F)</f>
        <v>365</v>
      </c>
      <c r="C10" s="7" t="n">
        <f aca="false">COUNTIFS('Attendance Data'!E:E,A10,'Attendance Data'!G:G,"Warning")</f>
        <v>8</v>
      </c>
      <c r="D10" s="23" t="n">
        <f aca="false">IFERROR(B10/(17*26),0)</f>
        <v>0.82579185520362</v>
      </c>
      <c r="E10" s="7" t="n">
        <f aca="false">COUNTIFS('Attendance Data'!E:E,A10,'Attendance Data'!G:G,"Good")</f>
        <v>9</v>
      </c>
      <c r="F10" s="7" t="n">
        <f aca="false">COUNTIFS('Attendance Data'!E:E,A10,'Attendance Data'!G:G,"Warning")</f>
        <v>8</v>
      </c>
    </row>
    <row r="11" customFormat="false" ht="15" hidden="false" customHeight="true" outlineLevel="0" collapsed="false">
      <c r="A11" s="5" t="s">
        <v>22</v>
      </c>
      <c r="B11" s="4" t="n">
        <f aca="false">SUMIF('Attendance Data'!E:E,A11,'Attendance Data'!F:F)</f>
        <v>367</v>
      </c>
      <c r="C11" s="4" t="n">
        <f aca="false">COUNTIFS('Attendance Data'!E:E,A11,'Attendance Data'!G:G,"Warning")</f>
        <v>10</v>
      </c>
      <c r="D11" s="22" t="n">
        <f aca="false">IFERROR(B11/(17*26),0)</f>
        <v>0.830316742081448</v>
      </c>
      <c r="E11" s="4" t="n">
        <f aca="false">COUNTIFS('Attendance Data'!E:E,A11,'Attendance Data'!G:G,"Good")</f>
        <v>7</v>
      </c>
      <c r="F11" s="4" t="n">
        <f aca="false">COUNTIFS('Attendance Data'!E:E,A11,'Attendance Data'!G:G,"Warning")</f>
        <v>10</v>
      </c>
    </row>
    <row r="12" customFormat="false" ht="15" hidden="false" customHeight="true" outlineLevel="0" collapsed="false">
      <c r="A12" s="8" t="s">
        <v>23</v>
      </c>
      <c r="B12" s="7" t="n">
        <f aca="false">SUMIF('Attendance Data'!E:E,A12,'Attendance Data'!F:F)</f>
        <v>382</v>
      </c>
      <c r="C12" s="7" t="n">
        <f aca="false">COUNTIFS('Attendance Data'!E:E,A12,'Attendance Data'!G:G,"Warning")</f>
        <v>7</v>
      </c>
      <c r="D12" s="23" t="n">
        <f aca="false">IFERROR(B12/(17*26),0)</f>
        <v>0.864253393665158</v>
      </c>
      <c r="E12" s="7" t="n">
        <f aca="false">COUNTIFS('Attendance Data'!E:E,A12,'Attendance Data'!G:G,"Good")</f>
        <v>10</v>
      </c>
      <c r="F12" s="7" t="n">
        <f aca="false">COUNTIFS('Attendance Data'!E:E,A12,'Attendance Data'!G:G,"Warning")</f>
        <v>7</v>
      </c>
    </row>
    <row r="13" customFormat="false" ht="15" hidden="false" customHeight="true" outlineLevel="0" collapsed="false">
      <c r="A13" s="5" t="s">
        <v>24</v>
      </c>
      <c r="B13" s="4" t="n">
        <f aca="false">SUMIF('Attendance Data'!E:E,A13,'Attendance Data'!F:F)</f>
        <v>376</v>
      </c>
      <c r="C13" s="4" t="n">
        <f aca="false">COUNTIFS('Attendance Data'!E:E,A13,'Attendance Data'!G:G,"Warning")</f>
        <v>7</v>
      </c>
      <c r="D13" s="22" t="n">
        <f aca="false">IFERROR(B13/(17*26),0)</f>
        <v>0.850678733031674</v>
      </c>
      <c r="E13" s="4" t="n">
        <f aca="false">COUNTIFS('Attendance Data'!E:E,A13,'Attendance Data'!G:G,"Good")</f>
        <v>10</v>
      </c>
      <c r="F13" s="4" t="n">
        <f aca="false">COUNTIFS('Attendance Data'!E:E,A13,'Attendance Data'!G:G,"Warning")</f>
        <v>7</v>
      </c>
    </row>
    <row r="14" customFormat="false" ht="15" hidden="false" customHeight="true" outlineLevel="0" collapsed="false">
      <c r="A14" s="8" t="s">
        <v>25</v>
      </c>
      <c r="B14" s="7" t="n">
        <f aca="false">SUMIF('Attendance Data'!E:E,A14,'Attendance Data'!F:F)</f>
        <v>371</v>
      </c>
      <c r="C14" s="7" t="n">
        <f aca="false">COUNTIFS('Attendance Data'!E:E,A14,'Attendance Data'!G:G,"Warning")</f>
        <v>9</v>
      </c>
      <c r="D14" s="23" t="n">
        <f aca="false">IFERROR(B14/(17*26),0)</f>
        <v>0.839366515837104</v>
      </c>
      <c r="E14" s="7" t="n">
        <f aca="false">COUNTIFS('Attendance Data'!E:E,A14,'Attendance Data'!G:G,"Good")</f>
        <v>8</v>
      </c>
      <c r="F14" s="7" t="n">
        <f aca="false">COUNTIFS('Attendance Data'!E:E,A14,'Attendance Data'!G:G,"Warning")</f>
        <v>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2" style="1" width="14"/>
    <col collapsed="false" customWidth="true" hidden="false" outlineLevel="0" max="6" min="5" style="1" width="14"/>
    <col collapsed="false" customWidth="true" hidden="false" outlineLevel="0" max="9" min="8" style="1" width="14"/>
    <col collapsed="false" customWidth="true" hidden="false" outlineLevel="0" max="12" min="11" style="1" width="14"/>
  </cols>
  <sheetData>
    <row r="2" customFormat="false" ht="45.75" hidden="false" customHeight="true" outlineLevel="0" collapsed="false">
      <c r="B2" s="24" t="s">
        <v>90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4" customFormat="false" ht="21.75" hidden="false" customHeight="true" outlineLevel="0" collapsed="false">
      <c r="B4" s="25" t="s">
        <v>91</v>
      </c>
      <c r="C4" s="25"/>
      <c r="E4" s="26" t="s">
        <v>87</v>
      </c>
      <c r="F4" s="26"/>
      <c r="H4" s="27" t="s">
        <v>92</v>
      </c>
      <c r="I4" s="27"/>
      <c r="K4" s="28" t="s">
        <v>93</v>
      </c>
      <c r="L4" s="28"/>
    </row>
    <row r="5" customFormat="false" ht="33.75" hidden="false" customHeight="true" outlineLevel="0" collapsed="false">
      <c r="B5" s="29" t="n">
        <f aca="false">COUNTA('Attendance Data'!A3:A10000)/12</f>
        <v>17</v>
      </c>
      <c r="C5" s="29"/>
      <c r="E5" s="30" t="n">
        <f aca="false">IFERROR(SUM('Attendance Data'!F:F)/(COUNTA('Attendance Data'!A3:A10000)*26),0)</f>
        <v>0.848793363499246</v>
      </c>
      <c r="F5" s="30"/>
      <c r="H5" s="31" t="n">
        <f aca="false">IFERROR(COUNTIF('Attendance Data'!G:G,"Good")/COUNTA('Attendance Data'!G3:G10000),0)</f>
        <v>0.563725490196078</v>
      </c>
      <c r="I5" s="31"/>
      <c r="K5" s="32" t="n">
        <f aca="false">SUMIF('Attendance Data'!E:E,"March",'Attendance Data'!F:F)</f>
        <v>371</v>
      </c>
      <c r="L5" s="32"/>
    </row>
    <row r="6" customFormat="false" ht="21.75" hidden="false" customHeight="true" outlineLevel="0" collapsed="false">
      <c r="B6" s="33" t="s">
        <v>94</v>
      </c>
      <c r="C6" s="33"/>
      <c r="E6" s="33" t="s">
        <v>94</v>
      </c>
      <c r="F6" s="33"/>
      <c r="H6" s="33" t="s">
        <v>94</v>
      </c>
      <c r="I6" s="33"/>
      <c r="K6" s="33" t="s">
        <v>94</v>
      </c>
      <c r="L6" s="33"/>
    </row>
  </sheetData>
  <mergeCells count="13">
    <mergeCell ref="B2:M2"/>
    <mergeCell ref="B4:C4"/>
    <mergeCell ref="E4:F4"/>
    <mergeCell ref="H4:I4"/>
    <mergeCell ref="K4:L4"/>
    <mergeCell ref="B5:C5"/>
    <mergeCell ref="E5:F5"/>
    <mergeCell ref="H5:I5"/>
    <mergeCell ref="K5:L5"/>
    <mergeCell ref="B6:C6"/>
    <mergeCell ref="E6:F6"/>
    <mergeCell ref="H6:I6"/>
    <mergeCell ref="K6:L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2026-03-20T15:04:21Z</dcterms:created>
  <dc:creator>openpyxl</dc:creator>
  <dc:description/>
  <dc:language>en-US</dc:language>
  <cp:lastModifiedBy/>
  <dcterms:modified xsi:type="dcterms:W3CDTF">2026-03-20T15:04:39Z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